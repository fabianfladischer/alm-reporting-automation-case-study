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09702667ca2cbc5e/Documents/Application/USA/Carreer Planning/Git Hub Repos/alm-reporting-automation-case-study/"/>
    </mc:Choice>
  </mc:AlternateContent>
  <xr:revisionPtr revIDLastSave="760" documentId="8_{0CFC305C-CADB-A44D-BDEA-1B2077209B13}" xr6:coauthVersionLast="47" xr6:coauthVersionMax="47" xr10:uidLastSave="{3BCBF3EE-7C05-C34D-BFAD-62C3170C5A15}"/>
  <bookViews>
    <workbookView xWindow="640" yWindow="760" windowWidth="28040" windowHeight="16880" activeTab="2" xr2:uid="{4A17C9B1-5501-EE41-9EBF-10E942C0943A}"/>
  </bookViews>
  <sheets>
    <sheet name="control" sheetId="6" r:id="rId1"/>
    <sheet name="Cover" sheetId="1" r:id="rId2"/>
    <sheet name="Curve" sheetId="2" r:id="rId3"/>
    <sheet name="Risk" sheetId="3" r:id="rId4"/>
    <sheet name="Liquidity" sheetId="4" r:id="rId5"/>
    <sheet name="01_curve_snapshot" sheetId="7" r:id="rId6"/>
    <sheet name="02_maturity_ladder" sheetId="8" r:id="rId7"/>
    <sheet name="03_dv01_by_bucket" sheetId="9" r:id="rId8"/>
    <sheet name="04_liquidity_timeseries" sheetId="10" r:id="rId9"/>
    <sheet name="05_top_trades_dv01" sheetId="11" r:id="rId10"/>
  </sheets>
  <definedNames>
    <definedName name="_xleta.T" hidden="1" xlm="1">#NAME?</definedName>
    <definedName name="_xlpm.asof" hidden="1" xlm="1">#NAME?</definedName>
    <definedName name="_xlpm.d" hidden="1" xlm="1">#NAME?</definedName>
    <definedName name="_xlpm.days" hidden="1" xlm="1">#NAME?</definedName>
    <definedName name="_xlpm.dd" hidden="1" xlm="1">#NAME?</definedName>
    <definedName name="_xlpm.l" hidden="1" xlm="1">#NAME?</definedName>
    <definedName name="_xlpm.m" hidden="1" xlm="1">#NAME?</definedName>
    <definedName name="_xlpm.n" hidden="1" xlm="1">#NAME?</definedName>
    <definedName name="_xlpm.p" hidden="1" xlm="1">#NAME?</definedName>
    <definedName name="_xlpm.pid" hidden="1" xlm="1">#NAME?</definedName>
    <definedName name="_xlpm.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 a="1"/>
  <c r="E6" i="3" s="1"/>
  <c r="B7" i="3"/>
  <c r="B8" i="3"/>
  <c r="B9" i="3"/>
  <c r="B10" i="3"/>
  <c r="B6" i="3"/>
  <c r="B7" i="2"/>
  <c r="B8" i="2"/>
  <c r="B9" i="2"/>
  <c r="C9" i="2" s="1"/>
  <c r="B10" i="2"/>
  <c r="C10" i="2" s="1"/>
  <c r="B11" i="2"/>
  <c r="C11" i="2" s="1"/>
  <c r="B12" i="2"/>
  <c r="C12" i="2" s="1"/>
  <c r="B13" i="2"/>
  <c r="C13" i="2" s="1"/>
  <c r="B6" i="2"/>
  <c r="C6" i="2" s="1"/>
  <c r="C20" i="1"/>
  <c r="C19" i="1"/>
  <c r="C18" i="1"/>
  <c r="C17" i="1"/>
  <c r="C16" i="1"/>
  <c r="B20" i="1"/>
  <c r="B19" i="1"/>
  <c r="B18" i="1"/>
  <c r="B17" i="1"/>
  <c r="B16" i="1"/>
  <c r="B12" i="1"/>
  <c r="B11" i="1"/>
  <c r="B10" i="1"/>
  <c r="B7" i="1" a="1"/>
  <c r="B7" i="1" s="1"/>
  <c r="D2" i="6" a="1"/>
  <c r="D2" i="6" s="1"/>
  <c r="B2" i="6"/>
  <c r="B2" i="2" s="1"/>
  <c r="A7" i="3"/>
  <c r="A8" i="3"/>
  <c r="A9" i="3"/>
  <c r="A10" i="3"/>
  <c r="A6" i="3"/>
  <c r="C7" i="2"/>
  <c r="C8" i="2"/>
  <c r="B3" i="1"/>
  <c r="B8" i="1" l="1" a="1"/>
  <c r="B8" i="1" s="1"/>
  <c r="C8" i="1" s="1"/>
  <c r="A6" i="4" a="1"/>
  <c r="A6" i="4" s="1"/>
  <c r="G6" i="4" a="1"/>
  <c r="G6" i="4" s="1"/>
  <c r="B6" i="1" a="1"/>
  <c r="B6" i="1" s="1"/>
  <c r="G7" i="4" a="1"/>
  <c r="G7" i="4" s="1"/>
  <c r="G8" i="4" a="1"/>
  <c r="G8" i="4" s="1"/>
  <c r="B12" i="3"/>
  <c r="C8" i="3" s="1"/>
  <c r="D19" i="1"/>
  <c r="D20" i="1"/>
  <c r="D18" i="1"/>
  <c r="D17" i="1"/>
  <c r="D16" i="1"/>
  <c r="B13" i="1"/>
  <c r="C6" i="1"/>
  <c r="C7" i="1"/>
  <c r="C7" i="3"/>
  <c r="C9" i="3"/>
  <c r="B5" i="6"/>
  <c r="B2" i="1"/>
  <c r="C10" i="3" l="1"/>
  <c r="C6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<sst xmlns="http://schemas.openxmlformats.org/spreadsheetml/2006/main" count="128" uniqueCount="72">
  <si>
    <t>asof_date</t>
  </si>
  <si>
    <t>curve_name</t>
  </si>
  <si>
    <t>tenor</t>
  </si>
  <si>
    <t>rate</t>
  </si>
  <si>
    <t>USD-SOFR-OIS</t>
  </si>
  <si>
    <t>1M</t>
  </si>
  <si>
    <t>3M</t>
  </si>
  <si>
    <t>6M</t>
  </si>
  <si>
    <t>1Y</t>
  </si>
  <si>
    <t>2Y</t>
  </si>
  <si>
    <t>5Y</t>
  </si>
  <si>
    <t>10Y</t>
  </si>
  <si>
    <t>30Y</t>
  </si>
  <si>
    <t>Portfolio ID</t>
  </si>
  <si>
    <t>Lookback Days</t>
  </si>
  <si>
    <t>LCR Threshold</t>
  </si>
  <si>
    <t>NSFR Threshold</t>
  </si>
  <si>
    <t>SLR Threshold</t>
  </si>
  <si>
    <t>bucket</t>
  </si>
  <si>
    <t>pay_receive_fixed</t>
  </si>
  <si>
    <t>notional_usd_mm</t>
  </si>
  <si>
    <t>0-1Y</t>
  </si>
  <si>
    <t>PAY</t>
  </si>
  <si>
    <t>RECEIVE</t>
  </si>
  <si>
    <t>2-5Y</t>
  </si>
  <si>
    <t>5-10Y</t>
  </si>
  <si>
    <t>10Y+</t>
  </si>
  <si>
    <t>dv01_usd</t>
  </si>
  <si>
    <t>portfolio_id</t>
  </si>
  <si>
    <t>lcr</t>
  </si>
  <si>
    <t>nsfr</t>
  </si>
  <si>
    <t>slr</t>
  </si>
  <si>
    <t>trade_id</t>
  </si>
  <si>
    <t>portfolio_name</t>
  </si>
  <si>
    <t>TRD00009</t>
  </si>
  <si>
    <t>ALM_Liquidity_Book</t>
  </si>
  <si>
    <t>TRD00010</t>
  </si>
  <si>
    <t>BankingBook_IRRBB</t>
  </si>
  <si>
    <t>TRD00013</t>
  </si>
  <si>
    <t>Treasury_Hedge_Book</t>
  </si>
  <si>
    <t>TRD00014</t>
  </si>
  <si>
    <t>TRD00018</t>
  </si>
  <si>
    <t>TRD00037</t>
  </si>
  <si>
    <t>TRD00020</t>
  </si>
  <si>
    <t>TRD00023</t>
  </si>
  <si>
    <t>TRD00033</t>
  </si>
  <si>
    <t>TRD00028</t>
  </si>
  <si>
    <t>As of Date</t>
  </si>
  <si>
    <t>Start Date</t>
  </si>
  <si>
    <t>List Portfolio Ids</t>
  </si>
  <si>
    <t>As Of Date</t>
  </si>
  <si>
    <t>LCR</t>
  </si>
  <si>
    <t>Lates KPIs</t>
  </si>
  <si>
    <t>NSFR</t>
  </si>
  <si>
    <t>SLR</t>
  </si>
  <si>
    <t>BP</t>
  </si>
  <si>
    <t>Portfolio Totals</t>
  </si>
  <si>
    <t>Total DV01</t>
  </si>
  <si>
    <t>Total PAY notional USD mm</t>
  </si>
  <si>
    <t>Total RECEIVE notional USD mm</t>
  </si>
  <si>
    <t>Net Notional</t>
  </si>
  <si>
    <t>Maturity Ladder</t>
  </si>
  <si>
    <t>1-2Y</t>
  </si>
  <si>
    <t>DV01 per Bucket</t>
  </si>
  <si>
    <t>Time Series</t>
  </si>
  <si>
    <t>LCR avg</t>
  </si>
  <si>
    <t>LCR min</t>
  </si>
  <si>
    <t>LCR max</t>
  </si>
  <si>
    <t>Top Trades</t>
  </si>
  <si>
    <t>As Of</t>
  </si>
  <si>
    <t>Rate</t>
  </si>
  <si>
    <t>Tenor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</si>
</sst>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9" formatCode="yyyy\-mm\-dd"/>
    <numFmt numFmtId="170" formatCode="0.0000%"/>
    <numFmt numFmtId="171" formatCode="0.0000"/>
  </numFmts>
  <fonts count="5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0"/>
      <color theme="1"/>
      <name val="Arial Unicode MS"/>
      <family val="2"/>
    </font>
    <font>
      <b/>
      <sz val="12"/>
      <color theme="1"/>
      <name val="Aptos Narrow"/>
      <scheme val="minor"/>
    </font>
    <font>
      <b/>
      <sz val="24"/>
      <color rgb="FF000000"/>
      <name val="Aptos Narrow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5">
    <xf numFmtId="0" fontId="0" fillId="0" borderId="0" xfId="0"/>
    <xf numFmtId="14" fontId="0" fillId="0" borderId="0" xfId="0" applyNumberFormat="1"/>
    <xf numFmtId="3" fontId="0" fillId="0" borderId="0" xfId="0" applyNumberFormat="1"/>
    <xf numFmtId="49" fontId="0" fillId="0" borderId="0" xfId="0" applyNumberFormat="1"/>
    <xf numFmtId="1" fontId="0" fillId="0" borderId="0" xfId="0" applyNumberFormat="1"/>
    <xf numFmtId="169" fontId="0" fillId="0" borderId="0" xfId="0" applyNumberFormat="1"/>
    <xf numFmtId="170" fontId="0" fillId="0" borderId="0" xfId="0" applyNumberFormat="1"/>
    <xf numFmtId="4" fontId="0" fillId="0" borderId="0" xfId="0" applyNumberFormat="1"/>
    <xf numFmtId="171" fontId="0" fillId="0" borderId="0" xfId="0" applyNumberFormat="1"/>
    <xf numFmtId="14" fontId="2" fillId="0" borderId="0" xfId="0" applyNumberFormat="1" applyFont="1"/>
    <xf numFmtId="0" fontId="2" fillId="0" borderId="0" xfId="0" applyFont="1"/>
    <xf numFmtId="10" fontId="0" fillId="0" borderId="0" xfId="1" applyNumberFormat="1" applyFont="1"/>
    <xf numFmtId="0" fontId="3" fillId="0" borderId="0" xfId="0" applyFont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center"/>
    </xf>
  </cellXfs>
  <cellStyles count="2">
    <cellStyle name="Normal" xfId="0" builtinId="0"/>
    <cellStyle name="Per cent" xfId="1" builtinId="5"/>
  </cellStyles>
  <dxfs count="23">
    <dxf>
      <numFmt numFmtId="3" formatCode="#,##0"/>
    </dxf>
    <dxf>
      <numFmt numFmtId="30" formatCode="@"/>
    </dxf>
    <dxf>
      <numFmt numFmtId="170" formatCode="0.0000%"/>
    </dxf>
    <dxf>
      <numFmt numFmtId="171" formatCode="0.0000"/>
    </dxf>
    <dxf>
      <numFmt numFmtId="171" formatCode="0.0000"/>
    </dxf>
    <dxf>
      <numFmt numFmtId="1" formatCode="0"/>
    </dxf>
    <dxf>
      <numFmt numFmtId="169" formatCode="yyyy\-mm\-dd"/>
    </dxf>
    <dxf>
      <numFmt numFmtId="3" formatCode="#,##0"/>
    </dxf>
    <dxf>
      <numFmt numFmtId="30" formatCode="@"/>
    </dxf>
    <dxf>
      <numFmt numFmtId="4" formatCode="#,##0.00"/>
    </dxf>
    <dxf>
      <numFmt numFmtId="30" formatCode="@"/>
    </dxf>
    <dxf>
      <numFmt numFmtId="170" formatCode="0.0000%"/>
    </dxf>
    <dxf>
      <numFmt numFmtId="30" formatCode="@"/>
    </dxf>
    <dxf>
      <numFmt numFmtId="169" formatCode="yyyy\-mm\-dd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791089</xdr:colOff>
          <xdr:row>0</xdr:row>
          <xdr:rowOff>164665</xdr:rowOff>
        </xdr:from>
        <xdr:to>
          <xdr:col>9</xdr:col>
          <xdr:colOff>817051</xdr:colOff>
          <xdr:row>6</xdr:row>
          <xdr:rowOff>158867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Import CSV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9B620B88-0425-6F47-A264-A2EC27E1F861}" name="tbl_curve_snapshot" displayName="tbl_curve_snapshot" ref="A1:D9" totalsRowShown="0" headerRowDxfId="22">
  <autoFilter ref="A1:D9" xr:uid="{9B620B88-0425-6F47-A264-A2EC27E1F861}"/>
  <tableColumns count="4">
    <tableColumn id="1" xr3:uid="{F59DCEA2-C1C3-7346-AC28-DDD4562222FB}" name="asof_date" dataDxfId="13"/>
    <tableColumn id="2" xr3:uid="{E647B500-5F81-3E45-95ED-9172A16FDA0A}" name="curve_name" dataDxfId="14"/>
    <tableColumn id="3" xr3:uid="{B69C6C96-7046-0B4F-B8F2-7AA1B7D7C6CE}" name="tenor" dataDxfId="12"/>
    <tableColumn id="4" xr3:uid="{A645689F-09A1-9F45-927D-47A8C7BB3D88}" name="rate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322B9386-BB9E-AE49-9D86-6C859E512083}" name="tbl_maturity_ladder" displayName="tbl_maturity_ladder" ref="A1:C9" totalsRowShown="0" headerRowDxfId="20">
  <autoFilter ref="A1:C9" xr:uid="{322B9386-BB9E-AE49-9D86-6C859E512083}"/>
  <tableColumns count="3">
    <tableColumn id="1" xr3:uid="{2747FBEE-5DB7-AE44-9BB3-A35C0FFA350C}" name="bucket" dataDxfId="21"/>
    <tableColumn id="2" xr3:uid="{10F05FCE-67F8-4645-855B-E1C21E572CA3}" name="pay_receive_fixed" dataDxfId="10"/>
    <tableColumn id="3" xr3:uid="{BD2CB9F8-C7BB-ED4A-9E04-782F937C4918}" name="notional_usd_mm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3909D22A-148F-154B-9B31-03FA7E52F0F6}" name="tbl_dv01_by_bucket" displayName="tbl_dv01_by_bucket" ref="A1:B5" totalsRowShown="0" headerRowDxfId="19">
  <autoFilter ref="A1:B5" xr:uid="{3909D22A-148F-154B-9B31-03FA7E52F0F6}"/>
  <tableColumns count="2">
    <tableColumn id="1" xr3:uid="{FC85C4C9-8B66-CD4F-8D7F-55D29B95127F}" name="bucket" dataDxfId="8"/>
    <tableColumn id="2" xr3:uid="{817D2F1C-C078-2149-B4A9-166884B0859B}" name="dv01_usd" dataDxfId="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E219FD9B-3384-7048-81EC-C78110EB4E84}" name="tbl_liquidity_timeseries" displayName="tbl_liquidity_timeseries" ref="A1:E62" totalsRowShown="0" headerRowDxfId="18">
  <autoFilter ref="A1:E62" xr:uid="{E219FD9B-3384-7048-81EC-C78110EB4E84}"/>
  <tableColumns count="5">
    <tableColumn id="1" xr3:uid="{69427158-9544-DB48-AAE9-8D2C29A00C5F}" name="asof_date" dataDxfId="6"/>
    <tableColumn id="2" xr3:uid="{6376550D-9547-4749-B5A7-C8B07966ED11}" name="portfolio_id" dataDxfId="5"/>
    <tableColumn id="3" xr3:uid="{1A25272C-133D-884B-88F3-FE8DA580D21A}" name="lcr" dataDxfId="4"/>
    <tableColumn id="4" xr3:uid="{16EA5ABC-4FF6-8F4A-BC88-1D30F05110C0}" name="nsfr" dataDxfId="3"/>
    <tableColumn id="5" xr3:uid="{429544CC-5002-D24F-92C0-01BB7D9B8A06}" name="slr" dataDxfId="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53AD1DA2-D7E5-4243-8EB4-5A0F96C631CF}" name="tbl_top_trades_dv01" displayName="tbl_top_trades_dv01" ref="A1:D11" totalsRowShown="0" headerRowDxfId="15">
  <autoFilter ref="A1:D11" xr:uid="{53AD1DA2-D7E5-4243-8EB4-5A0F96C631CF}"/>
  <tableColumns count="4">
    <tableColumn id="1" xr3:uid="{39115B96-3DBA-554A-9E0D-86FE7E1C91A6}" name="trade_id" dataDxfId="17"/>
    <tableColumn id="2" xr3:uid="{18A8948C-8080-EC42-8546-12D208D1FD7F}" name="portfolio_name" dataDxfId="16"/>
    <tableColumn id="3" xr3:uid="{58D76E02-4990-4E48-86F7-40CF57D328D6}" name="pay_receive_fixed" dataDxfId="1"/>
    <tableColumn id="4" xr3:uid="{01A69CBC-3E5D-954C-A8A5-6D3B6288A1AD}" name="dv01_us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17F66-DAAC-644C-8A10-631C3AF5A3C0}">
  <sheetPr codeName="Sheet6"/>
  <dimension ref="B2:E8"/>
  <sheetViews>
    <sheetView zoomScale="117" workbookViewId="0">
      <selection activeCell="H15" sqref="H15"/>
    </sheetView>
  </sheetViews>
  <sheetFormatPr baseColWidth="10" defaultRowHeight="16" x14ac:dyDescent="0.2"/>
  <cols>
    <col min="1" max="1" width="13" bestFit="1" customWidth="1"/>
    <col min="3" max="3" width="13.83203125" bestFit="1" customWidth="1"/>
  </cols>
  <sheetData>
    <row r="2" spans="2:5" x14ac:dyDescent="0.2">
      <c r="B2" s="1">
        <f>MAX(tbl_liquidity_timeseries[asof_date])</f>
        <v>46073</v>
      </c>
      <c r="C2" t="s">
        <v>47</v>
      </c>
      <c r="D2" cm="1">
        <f t="array" ref="D2">_xlfn._xlws.SORT(_xlfn.UNIQUE(tbl_liquidity_timeseries[portfolio_id]))</f>
        <v>2</v>
      </c>
      <c r="E2" t="s">
        <v>49</v>
      </c>
    </row>
    <row r="3" spans="2:5" x14ac:dyDescent="0.2">
      <c r="B3">
        <v>2</v>
      </c>
      <c r="C3" t="s">
        <v>13</v>
      </c>
    </row>
    <row r="4" spans="2:5" x14ac:dyDescent="0.2">
      <c r="B4">
        <v>60</v>
      </c>
      <c r="C4" t="s">
        <v>14</v>
      </c>
    </row>
    <row r="5" spans="2:5" x14ac:dyDescent="0.2">
      <c r="B5" s="1">
        <f>$B$2-$B$4</f>
        <v>46013</v>
      </c>
      <c r="C5" t="s">
        <v>48</v>
      </c>
    </row>
    <row r="6" spans="2:5" x14ac:dyDescent="0.2">
      <c r="B6">
        <v>1</v>
      </c>
      <c r="C6" t="s">
        <v>15</v>
      </c>
    </row>
    <row r="7" spans="2:5" x14ac:dyDescent="0.2">
      <c r="B7">
        <v>1</v>
      </c>
      <c r="C7" t="s">
        <v>16</v>
      </c>
    </row>
    <row r="8" spans="2:5" x14ac:dyDescent="0.2">
      <c r="B8">
        <v>0.05</v>
      </c>
      <c r="C8" t="s">
        <v>17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Import_All">
                <anchor moveWithCells="1" sizeWithCells="1">
                  <from>
                    <xdr:col>5</xdr:col>
                    <xdr:colOff>787400</xdr:colOff>
                    <xdr:row>0</xdr:row>
                    <xdr:rowOff>165100</xdr:rowOff>
                  </from>
                  <to>
                    <xdr:col>9</xdr:col>
                    <xdr:colOff>812800</xdr:colOff>
                    <xdr:row>6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13005-7F9A-9249-B328-86E98A0D1E9A}">
  <sheetPr codeName="Sheet1"/>
  <dimension ref="A2:D20"/>
  <sheetViews>
    <sheetView topLeftCell="A4" zoomScale="160" workbookViewId="0">
      <selection activeCell="F19" sqref="F19"/>
    </sheetView>
  </sheetViews>
  <sheetFormatPr baseColWidth="10" defaultRowHeight="16" x14ac:dyDescent="0.2"/>
  <cols>
    <col min="1" max="1" width="23.1640625" bestFit="1" customWidth="1"/>
  </cols>
  <sheetData>
    <row r="2" spans="1:4" ht="17" x14ac:dyDescent="0.25">
      <c r="A2" t="s">
        <v>50</v>
      </c>
      <c r="B2" s="9">
        <f>control!$B$2</f>
        <v>46073</v>
      </c>
    </row>
    <row r="3" spans="1:4" ht="17" x14ac:dyDescent="0.25">
      <c r="A3" t="s">
        <v>13</v>
      </c>
      <c r="B3" s="10">
        <f>control!$B$3</f>
        <v>2</v>
      </c>
    </row>
    <row r="5" spans="1:4" x14ac:dyDescent="0.2">
      <c r="A5" s="12" t="s">
        <v>52</v>
      </c>
      <c r="B5" s="12"/>
    </row>
    <row r="6" spans="1:4" x14ac:dyDescent="0.2">
      <c r="A6" t="s">
        <v>51</v>
      </c>
      <c r="B6" s="11" cm="1">
        <f t="array" ref="B6">_xlfn.LET(_xlpm.pid;control!$B$3;_xlpm.d;control!$B$2;_xlfn.XLOOKUP(1;(tbl_liquidity_timeseries[portfolio_id]=_xlpm.pid)*(tbl_liquidity_timeseries[asof_date]=_xlpm.d);tbl_liquidity_timeseries[lcr]))</f>
        <v>1.2758</v>
      </c>
      <c r="C6" t="str">
        <f>IF($B$6&gt;=control!$B$6;"OK";"BREACH")</f>
        <v>OK</v>
      </c>
    </row>
    <row r="7" spans="1:4" x14ac:dyDescent="0.2">
      <c r="A7" t="s">
        <v>53</v>
      </c>
      <c r="B7" s="11" cm="1">
        <f t="array" ref="B7">_xlfn.LET(_xlpm.pid;control!$B$3;_xlpm.d;control!$B$2;_xlfn.XLOOKUP(1;(tbl_liquidity_timeseries[portfolio_id]=_xlpm.pid)*(tbl_liquidity_timeseries[asof_date]=_xlpm.d);tbl_liquidity_timeseries[nsfr]))</f>
        <v>1.1386000000000001</v>
      </c>
      <c r="C7" t="str">
        <f>IF($B$7&gt;=control!$B$7;"OK";"BREACH")</f>
        <v>OK</v>
      </c>
    </row>
    <row r="8" spans="1:4" x14ac:dyDescent="0.2">
      <c r="A8" t="s">
        <v>54</v>
      </c>
      <c r="B8" s="11" cm="1">
        <f t="array" ref="B8">_xlfn.LET(_xlpm.pid;control!$B$3;_xlpm.d;control!$B$2;_xlfn.XLOOKUP(1;(tbl_liquidity_timeseries[portfolio_id]=_xlpm.pid)*(tbl_liquidity_timeseries[asof_date]=_xlpm.d);tbl_liquidity_timeseries[slr]))</f>
        <v>5.6500000000000002E-2</v>
      </c>
      <c r="C8" t="str">
        <f>IF($B$8&gt;=control!$B$8;"OK";"BREACH")</f>
        <v>OK</v>
      </c>
    </row>
    <row r="9" spans="1:4" x14ac:dyDescent="0.2">
      <c r="A9" s="12" t="s">
        <v>56</v>
      </c>
      <c r="B9" s="12"/>
    </row>
    <row r="10" spans="1:4" x14ac:dyDescent="0.2">
      <c r="A10" t="s">
        <v>57</v>
      </c>
      <c r="B10" s="2">
        <f>SUM(tbl_dv01_by_bucket[dv01_usd])</f>
        <v>72429.440000000002</v>
      </c>
    </row>
    <row r="11" spans="1:4" x14ac:dyDescent="0.2">
      <c r="A11" t="s">
        <v>58</v>
      </c>
      <c r="B11">
        <f>SUMIFS(tbl_maturity_ladder[notional_usd_mm];tbl_maturity_ladder[pay_receive_fixed];"PAY")</f>
        <v>800</v>
      </c>
    </row>
    <row r="12" spans="1:4" x14ac:dyDescent="0.2">
      <c r="A12" t="s">
        <v>59</v>
      </c>
      <c r="B12">
        <f>SUMIFS(tbl_maturity_ladder[notional_usd_mm];tbl_maturity_ladder[pay_receive_fixed];"RECEIVE")</f>
        <v>640</v>
      </c>
    </row>
    <row r="13" spans="1:4" x14ac:dyDescent="0.2">
      <c r="A13" t="s">
        <v>60</v>
      </c>
      <c r="B13">
        <f>$B$12-$B$11</f>
        <v>-160</v>
      </c>
    </row>
    <row r="15" spans="1:4" x14ac:dyDescent="0.2">
      <c r="A15" s="12" t="s">
        <v>61</v>
      </c>
      <c r="B15" s="12"/>
    </row>
    <row r="16" spans="1:4" x14ac:dyDescent="0.2">
      <c r="A16" t="s">
        <v>21</v>
      </c>
      <c r="B16">
        <f>IFERROR(SUMIFS(tbl_maturity_ladder[notional_usd_mm];tbl_maturity_ladder[bucket];$A16;tbl_maturity_ladder[pay_receive_fixed];"PAY");0)</f>
        <v>30</v>
      </c>
      <c r="C16">
        <f>IFERROR(SUMIFS(tbl_maturity_ladder[notional_usd_mm];tbl_maturity_ladder[bucket];$A16;tbl_maturity_ladder[pay_receive_fixed];"RECEIVE");0)</f>
        <v>60</v>
      </c>
      <c r="D16">
        <f>$C16-$B16</f>
        <v>30</v>
      </c>
    </row>
    <row r="17" spans="1:4" x14ac:dyDescent="0.2">
      <c r="A17" t="s">
        <v>62</v>
      </c>
      <c r="B17">
        <f>IFERROR(SUMIFS(tbl_maturity_ladder[notional_usd_mm];tbl_maturity_ladder[bucket];$A17;tbl_maturity_ladder[pay_receive_fixed];"PAY");0)</f>
        <v>0</v>
      </c>
      <c r="C17">
        <f>IFERROR(SUMIFS(tbl_maturity_ladder[notional_usd_mm];tbl_maturity_ladder[bucket];$A17;tbl_maturity_ladder[pay_receive_fixed];"RECEIVE");0)</f>
        <v>0</v>
      </c>
      <c r="D17">
        <f>$C17-$B17</f>
        <v>0</v>
      </c>
    </row>
    <row r="18" spans="1:4" x14ac:dyDescent="0.2">
      <c r="A18" t="s">
        <v>24</v>
      </c>
      <c r="B18">
        <f>IFERROR(SUMIFS(tbl_maturity_ladder[notional_usd_mm];tbl_maturity_ladder[bucket];$A18;tbl_maturity_ladder[pay_receive_fixed];"PAY");0)</f>
        <v>85</v>
      </c>
      <c r="C18">
        <f>IFERROR(SUMIFS(tbl_maturity_ladder[notional_usd_mm];tbl_maturity_ladder[bucket];$A18;tbl_maturity_ladder[pay_receive_fixed];"RECEIVE");0)</f>
        <v>25</v>
      </c>
      <c r="D18">
        <f>$C18-$B18</f>
        <v>-60</v>
      </c>
    </row>
    <row r="19" spans="1:4" x14ac:dyDescent="0.2">
      <c r="A19" t="s">
        <v>25</v>
      </c>
      <c r="B19">
        <f>IFERROR(SUMIFS(tbl_maturity_ladder[notional_usd_mm];tbl_maturity_ladder[bucket];$A19;tbl_maturity_ladder[pay_receive_fixed];"PAY");0)</f>
        <v>305</v>
      </c>
      <c r="C19">
        <f>IFERROR(SUMIFS(tbl_maturity_ladder[notional_usd_mm];tbl_maturity_ladder[bucket];$A19;tbl_maturity_ladder[pay_receive_fixed];"RECEIVE");0)</f>
        <v>150</v>
      </c>
      <c r="D19">
        <f>$C19-$B19</f>
        <v>-155</v>
      </c>
    </row>
    <row r="20" spans="1:4" x14ac:dyDescent="0.2">
      <c r="A20" t="s">
        <v>26</v>
      </c>
      <c r="B20">
        <f>IFERROR(SUMIFS(tbl_maturity_ladder[notional_usd_mm];tbl_maturity_ladder[bucket];$A20;tbl_maturity_ladder[pay_receive_fixed];"PAY");0)</f>
        <v>380</v>
      </c>
      <c r="C20">
        <f>IFERROR(SUMIFS(tbl_maturity_ladder[notional_usd_mm];tbl_maturity_ladder[bucket];$A20;tbl_maturity_ladder[pay_receive_fixed];"RECEIVE");0)</f>
        <v>405</v>
      </c>
      <c r="D20">
        <f>$C20-$B20</f>
        <v>25</v>
      </c>
    </row>
  </sheetData>
  <mergeCells count="3">
    <mergeCell ref="A5:B5"/>
    <mergeCell ref="A9:B9"/>
    <mergeCell ref="A15:B1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34853-1AA7-3642-9823-FBF84193B424}">
  <sheetPr codeName="Sheet2"/>
  <dimension ref="A2:C13"/>
  <sheetViews>
    <sheetView tabSelected="1" zoomScale="117" workbookViewId="0">
      <selection activeCell="E15" sqref="E15"/>
    </sheetView>
  </sheetViews>
  <sheetFormatPr baseColWidth="10" defaultRowHeight="16" x14ac:dyDescent="0.2"/>
  <sheetData>
    <row r="2" spans="1:3" x14ac:dyDescent="0.2">
      <c r="A2" t="s">
        <v>69</v>
      </c>
      <c r="B2" s="1">
        <f>control!$B$2</f>
        <v>46073</v>
      </c>
    </row>
    <row r="5" spans="1:3" x14ac:dyDescent="0.2">
      <c r="A5" s="14" t="s">
        <v>71</v>
      </c>
      <c r="B5" s="14" t="s">
        <v>70</v>
      </c>
      <c r="C5" s="14" t="s">
        <v>55</v>
      </c>
    </row>
    <row r="6" spans="1:3" x14ac:dyDescent="0.2">
      <c r="A6" t="s">
        <v>5</v>
      </c>
      <c r="B6">
        <f>IFERROR(_xlfn.XLOOKUP($A6;tbl_curve_snapshot[tenor];tbl_curve_snapshot[rate]);"")</f>
        <v>5.1474006710797923E-2</v>
      </c>
      <c r="C6">
        <f>IF($B6="";"";$B6*10000)</f>
        <v>514.74006710797926</v>
      </c>
    </row>
    <row r="7" spans="1:3" x14ac:dyDescent="0.2">
      <c r="A7" t="s">
        <v>6</v>
      </c>
      <c r="B7">
        <f>IFERROR(_xlfn.XLOOKUP($A7;tbl_curve_snapshot[tenor];tbl_curve_snapshot[rate]);"")</f>
        <v>5.1019461256252466E-2</v>
      </c>
      <c r="C7">
        <f>IF($B7="";"";$B7*10000)</f>
        <v>510.19461256252464</v>
      </c>
    </row>
    <row r="8" spans="1:3" x14ac:dyDescent="0.2">
      <c r="A8" t="s">
        <v>7</v>
      </c>
      <c r="B8">
        <f>IFERROR(_xlfn.XLOOKUP($A8;tbl_curve_snapshot[tenor];tbl_curve_snapshot[rate]);"")</f>
        <v>5.0337643074434286E-2</v>
      </c>
      <c r="C8">
        <f>IF($B8="";"";$B8*10000)</f>
        <v>503.37643074434288</v>
      </c>
    </row>
    <row r="9" spans="1:3" x14ac:dyDescent="0.2">
      <c r="A9" t="s">
        <v>8</v>
      </c>
      <c r="B9">
        <f>IFERROR(_xlfn.XLOOKUP($A9;tbl_curve_snapshot[tenor];tbl_curve_snapshot[rate]);"")</f>
        <v>4.8974006710797921E-2</v>
      </c>
      <c r="C9">
        <f>IF($B9="";"";$B9*10000)</f>
        <v>489.7400671079792</v>
      </c>
    </row>
    <row r="10" spans="1:3" x14ac:dyDescent="0.2">
      <c r="A10" t="s">
        <v>9</v>
      </c>
      <c r="B10">
        <f>IFERROR(_xlfn.XLOOKUP($A10;tbl_curve_snapshot[tenor];tbl_curve_snapshot[rate]);"")</f>
        <v>4.8474006710797921E-2</v>
      </c>
      <c r="C10">
        <f>IF($B10="";"";$B10*10000)</f>
        <v>484.7400671079792</v>
      </c>
    </row>
    <row r="11" spans="1:3" x14ac:dyDescent="0.2">
      <c r="A11" t="s">
        <v>10</v>
      </c>
      <c r="B11">
        <f>IFERROR(_xlfn.XLOOKUP($A11;tbl_curve_snapshot[tenor];tbl_curve_snapshot[rate]);"")</f>
        <v>4.6974006710797919E-2</v>
      </c>
      <c r="C11">
        <f t="shared" ref="C11:C13" si="0">IF($B11="";"";$B11*10000)</f>
        <v>469.7400671079792</v>
      </c>
    </row>
    <row r="12" spans="1:3" x14ac:dyDescent="0.2">
      <c r="A12" t="s">
        <v>11</v>
      </c>
      <c r="B12">
        <f>IFERROR(_xlfn.XLOOKUP($A12;tbl_curve_snapshot[tenor];tbl_curve_snapshot[rate]);"")</f>
        <v>4.677400671079792E-2</v>
      </c>
      <c r="C12">
        <f t="shared" si="0"/>
        <v>467.7400671079792</v>
      </c>
    </row>
    <row r="13" spans="1:3" x14ac:dyDescent="0.2">
      <c r="A13" t="s">
        <v>12</v>
      </c>
      <c r="B13">
        <f>IFERROR(_xlfn.XLOOKUP($A13;tbl_curve_snapshot[tenor];tbl_curve_snapshot[rate]);"")</f>
        <v>4.5974006710797918E-2</v>
      </c>
      <c r="C13">
        <f t="shared" si="0"/>
        <v>459.7400671079792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AF8C4-3E2F-2D4D-869A-D082E724EC2E}">
  <sheetPr codeName="Sheet3"/>
  <dimension ref="A5:H15"/>
  <sheetViews>
    <sheetView workbookViewId="0">
      <selection activeCell="B14" sqref="B14"/>
    </sheetView>
  </sheetViews>
  <sheetFormatPr baseColWidth="10" defaultRowHeight="16" x14ac:dyDescent="0.2"/>
  <cols>
    <col min="6" max="6" width="19" bestFit="1" customWidth="1"/>
  </cols>
  <sheetData>
    <row r="5" spans="1:8" x14ac:dyDescent="0.2">
      <c r="A5" s="12" t="s">
        <v>63</v>
      </c>
      <c r="B5" s="12"/>
      <c r="C5" s="12"/>
      <c r="E5" s="12" t="s">
        <v>68</v>
      </c>
      <c r="F5" s="12"/>
      <c r="G5" s="12"/>
      <c r="H5" s="12"/>
    </row>
    <row r="6" spans="1:8" x14ac:dyDescent="0.2">
      <c r="A6" t="str">
        <f>Cover!A16</f>
        <v>0-1Y</v>
      </c>
      <c r="B6">
        <f>IFERROR(_xlfn.XLOOKUP($A6;tbl_dv01_by_bucket[bucket];tbl_dv01_by_bucket[dv01_usd]);0)</f>
        <v>1282.08</v>
      </c>
      <c r="C6">
        <f>IF($B$12=0;0;$B6/$B$12)</f>
        <v>1.7701089501727472E-2</v>
      </c>
      <c r="E6" t="str" cm="1">
        <f t="array" ref="E6:H15">_xlfn.TAKE(_xlfn.SORTBY(tbl_top_trades_dv01[];ABS(tbl_top_trades_dv01[dv01_usd]);-1);10)</f>
        <v>TRD00009</v>
      </c>
      <c r="F6" t="str">
        <v>ALM_Liquidity_Book</v>
      </c>
      <c r="G6" t="str">
        <v>RECEIVE</v>
      </c>
      <c r="H6">
        <v>129359.38</v>
      </c>
    </row>
    <row r="7" spans="1:8" x14ac:dyDescent="0.2">
      <c r="A7" t="str">
        <f>Cover!A17</f>
        <v>1-2Y</v>
      </c>
      <c r="B7">
        <f>IFERROR(_xlfn.XLOOKUP($A7;tbl_dv01_by_bucket[bucket];tbl_dv01_by_bucket[dv01_usd]);0)</f>
        <v>0</v>
      </c>
      <c r="C7">
        <f>IF($B$12=0;0;$B7/$B$12)</f>
        <v>0</v>
      </c>
      <c r="E7" t="str">
        <v>TRD00010</v>
      </c>
      <c r="F7" t="str">
        <v>BankingBook_IRRBB</v>
      </c>
      <c r="G7" t="str">
        <v>RECEIVE</v>
      </c>
      <c r="H7">
        <v>129359.38</v>
      </c>
    </row>
    <row r="8" spans="1:8" x14ac:dyDescent="0.2">
      <c r="A8" t="str">
        <f>Cover!A18</f>
        <v>2-5Y</v>
      </c>
      <c r="B8">
        <f>IFERROR(_xlfn.XLOOKUP($A8;tbl_dv01_by_bucket[bucket];tbl_dv01_by_bucket[dv01_usd]);0)</f>
        <v>-10341.67</v>
      </c>
      <c r="C8">
        <f t="shared" ref="C8:C10" si="0">IF($B$12=0;0;$B8/$B$12)</f>
        <v>-0.14278268615634748</v>
      </c>
      <c r="E8" t="str">
        <v>TRD00013</v>
      </c>
      <c r="F8" t="str">
        <v>Treasury_Hedge_Book</v>
      </c>
      <c r="G8" t="str">
        <v>RECEIVE</v>
      </c>
      <c r="H8">
        <v>129353.47</v>
      </c>
    </row>
    <row r="9" spans="1:8" x14ac:dyDescent="0.2">
      <c r="A9" t="str">
        <f>Cover!A19</f>
        <v>5-10Y</v>
      </c>
      <c r="B9">
        <f>IFERROR(_xlfn.XLOOKUP($A9;tbl_dv01_by_bucket[bucket];tbl_dv01_by_bucket[dv01_usd]);0)</f>
        <v>-84086.25</v>
      </c>
      <c r="C9">
        <f t="shared" si="0"/>
        <v>-1.1609402198884873</v>
      </c>
      <c r="E9" t="str">
        <v>TRD00014</v>
      </c>
      <c r="F9" t="str">
        <v>Treasury_Hedge_Book</v>
      </c>
      <c r="G9" t="str">
        <v>PAY</v>
      </c>
      <c r="H9">
        <v>-129353.47</v>
      </c>
    </row>
    <row r="10" spans="1:8" x14ac:dyDescent="0.2">
      <c r="A10" t="str">
        <f>Cover!A20</f>
        <v>10Y+</v>
      </c>
      <c r="B10">
        <f>IFERROR(_xlfn.XLOOKUP($A10;tbl_dv01_by_bucket[bucket];tbl_dv01_by_bucket[dv01_usd]);0)</f>
        <v>165575.28</v>
      </c>
      <c r="C10">
        <f t="shared" si="0"/>
        <v>2.2860218165431072</v>
      </c>
      <c r="E10" t="str">
        <v>TRD00018</v>
      </c>
      <c r="F10" t="str">
        <v>ALM_Liquidity_Book</v>
      </c>
      <c r="G10" t="str">
        <v>PAY</v>
      </c>
      <c r="H10">
        <v>-97023.96</v>
      </c>
    </row>
    <row r="11" spans="1:8" x14ac:dyDescent="0.2">
      <c r="E11" t="str">
        <v>TRD00037</v>
      </c>
      <c r="F11" t="str">
        <v>Treasury_Hedge_Book</v>
      </c>
      <c r="G11" t="str">
        <v>RECEIVE</v>
      </c>
      <c r="H11">
        <v>86239.58</v>
      </c>
    </row>
    <row r="12" spans="1:8" x14ac:dyDescent="0.2">
      <c r="A12" s="13" t="s">
        <v>57</v>
      </c>
      <c r="B12">
        <f>SUM($B$6:$B$10)</f>
        <v>72429.440000000002</v>
      </c>
      <c r="E12" t="str">
        <v>TRD00020</v>
      </c>
      <c r="F12" t="str">
        <v>ALM_Liquidity_Book</v>
      </c>
      <c r="G12" t="str">
        <v>PAY</v>
      </c>
      <c r="H12">
        <v>-77615.63</v>
      </c>
    </row>
    <row r="13" spans="1:8" x14ac:dyDescent="0.2">
      <c r="E13" t="str">
        <v>TRD00023</v>
      </c>
      <c r="F13" t="str">
        <v>Treasury_Hedge_Book</v>
      </c>
      <c r="G13" t="str">
        <v>PAY</v>
      </c>
      <c r="H13">
        <v>-64682.64</v>
      </c>
    </row>
    <row r="14" spans="1:8" x14ac:dyDescent="0.2">
      <c r="E14" t="str">
        <v>TRD00033</v>
      </c>
      <c r="F14" t="str">
        <v>BankingBook_IRRBB</v>
      </c>
      <c r="G14" t="str">
        <v>PAY</v>
      </c>
      <c r="H14">
        <v>-64682.64</v>
      </c>
    </row>
    <row r="15" spans="1:8" x14ac:dyDescent="0.2">
      <c r="E15" t="str">
        <v>TRD00028</v>
      </c>
      <c r="F15" t="str">
        <v>BankingBook_IRRBB</v>
      </c>
      <c r="G15" t="str">
        <v>PAY</v>
      </c>
      <c r="H15">
        <v>-45280.21</v>
      </c>
    </row>
  </sheetData>
  <mergeCells count="2">
    <mergeCell ref="A5:C5"/>
    <mergeCell ref="E5:H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81E3A-1361-234D-BC10-9E984A0E16CA}">
  <sheetPr codeName="Sheet4"/>
  <dimension ref="A5:G66"/>
  <sheetViews>
    <sheetView workbookViewId="0">
      <selection activeCell="I19" sqref="I19"/>
    </sheetView>
  </sheetViews>
  <sheetFormatPr baseColWidth="10" defaultRowHeight="16" x14ac:dyDescent="0.2"/>
  <sheetData>
    <row r="5" spans="1:7" x14ac:dyDescent="0.2">
      <c r="A5" t="s">
        <v>64</v>
      </c>
    </row>
    <row r="6" spans="1:7" x14ac:dyDescent="0.2">
      <c r="A6" cm="1">
        <f t="array" ref="A6:D66">_xlfn.LET(_xlpm.pid;control!$B$3;_xlpm.asof;control!$B$2;_xlpm.days;control!$B$4;_xlpm.d;tbl_liquidity_timeseries[asof_date];_xlpm.p;tbl_liquidity_timeseries[portfolio_id];_xlpm.m;(_xlpm.p=_xlpm.pid)*(_xlpm.d&gt;=_xlpm.asof-_xlpm.days)*(_xlpm.d&lt;=_xlpm.asof);_xlpm.dd;_xlfn._xlws.FILTER(_xlpm.d;_xlpm.m);_xlpm.l;_xlfn._xlws.FILTER(tbl_liquidity_timeseries[lcr];_xlpm.m);_xlpm.n;_xlfn._xlws.FILTER(tbl_liquidity_timeseries[nsfr];_xlpm.m);_xlpm.s;_xlfn._xlws.FILTER(tbl_liquidity_timeseries[slr];_xlpm.m);_xlfn.SORTBY(CHOOSE({1\2\3\4};_xlpm.dd;_xlpm.l;_xlpm.n;_xlpm.s);_xlpm.dd;1))</f>
        <v>46013</v>
      </c>
      <c r="B6">
        <v>1.2762</v>
      </c>
      <c r="C6">
        <v>1.0583</v>
      </c>
      <c r="D6">
        <v>5.4399999999999997E-2</v>
      </c>
      <c r="F6" t="s">
        <v>65</v>
      </c>
      <c r="G6" s="11" cm="1">
        <f t="array" ref="G6">_xlfn.LET(_xlpm.pid;control!$B$3;_xlpm.asof;control!$B$2;_xlpm.days;control!$B$4;_xlpm.d;tbl_liquidity_timeseries[asof_date];_xlpm.p;tbl_liquidity_timeseries[portfolio_id];_xlpm.m;(_xlpm.p=_xlpm.pid)*(_xlpm.d&gt;=_xlpm.asof-_xlpm.days)*(_xlpm.d&lt;=_xlpm.asof);AVERAGE(_xlfn._xlws.FILTER(tbl_liquidity_timeseries[lcr];_xlpm.m)))</f>
        <v>1.2632196721311477</v>
      </c>
    </row>
    <row r="7" spans="1:7" x14ac:dyDescent="0.2">
      <c r="A7">
        <v>46014</v>
      </c>
      <c r="B7">
        <v>1.2749999999999999</v>
      </c>
      <c r="C7">
        <v>1.0569999999999999</v>
      </c>
      <c r="D7">
        <v>5.4199999999999998E-2</v>
      </c>
      <c r="F7" t="s">
        <v>66</v>
      </c>
      <c r="G7" s="11" cm="1">
        <f t="array" ref="G7">_xlfn.LET(_xlpm.pid;control!$B$3;_xlpm.asof;control!$B$2;_xlpm.days;control!$B$4;_xlpm.d;tbl_liquidity_timeseries[asof_date];_xlpm.p;tbl_liquidity_timeseries[portfolio_id];_xlpm.m;(_xlpm.p=_xlpm.pid)*(_xlpm.d&gt;=_xlpm.asof-_xlpm.days)*(_xlpm.d&lt;=_xlpm.asof);MIN(_xlfn._xlws.FILTER(tbl_liquidity_timeseries[lcr];_xlpm.m)))</f>
        <v>1.224</v>
      </c>
    </row>
    <row r="8" spans="1:7" x14ac:dyDescent="0.2">
      <c r="A8">
        <v>46015</v>
      </c>
      <c r="B8">
        <v>1.2763</v>
      </c>
      <c r="C8">
        <v>1.0590999999999999</v>
      </c>
      <c r="D8">
        <v>5.4399999999999997E-2</v>
      </c>
      <c r="F8" t="s">
        <v>67</v>
      </c>
      <c r="G8" s="11" cm="1">
        <f t="array" ref="G8">_xlfn.LET(_xlpm.pid;control!$B$3;_xlpm.asof;control!$B$2;_xlpm.days;control!$B$4;_xlpm.d;tbl_liquidity_timeseries[asof_date];_xlpm.p;tbl_liquidity_timeseries[portfolio_id];_xlpm.m;(_xlpm.p=_xlpm.pid)*(_xlpm.d&gt;=_xlpm.asof-_xlpm.days)*(_xlpm.d&lt;=_xlpm.asof);MAX(_xlfn._xlws.FILTER(tbl_liquidity_timeseries[lcr];_xlpm.m)))</f>
        <v>1.2798</v>
      </c>
    </row>
    <row r="9" spans="1:7" x14ac:dyDescent="0.2">
      <c r="A9">
        <v>46016</v>
      </c>
      <c r="B9">
        <v>1.2782</v>
      </c>
      <c r="C9">
        <v>1.0620000000000001</v>
      </c>
      <c r="D9">
        <v>5.4699999999999999E-2</v>
      </c>
    </row>
    <row r="10" spans="1:7" x14ac:dyDescent="0.2">
      <c r="A10">
        <v>46017</v>
      </c>
      <c r="B10">
        <v>1.2730999999999999</v>
      </c>
      <c r="C10">
        <v>1.0562</v>
      </c>
      <c r="D10">
        <v>5.3900000000000003E-2</v>
      </c>
    </row>
    <row r="11" spans="1:7" x14ac:dyDescent="0.2">
      <c r="A11">
        <v>46018</v>
      </c>
      <c r="B11">
        <v>1.2758</v>
      </c>
      <c r="C11">
        <v>1.0603</v>
      </c>
      <c r="D11">
        <v>5.4399999999999997E-2</v>
      </c>
    </row>
    <row r="12" spans="1:7" x14ac:dyDescent="0.2">
      <c r="A12">
        <v>46019</v>
      </c>
      <c r="B12">
        <v>1.2746</v>
      </c>
      <c r="C12">
        <v>1.0597000000000001</v>
      </c>
      <c r="D12">
        <v>5.4199999999999998E-2</v>
      </c>
    </row>
    <row r="13" spans="1:7" x14ac:dyDescent="0.2">
      <c r="A13">
        <v>46020</v>
      </c>
      <c r="B13">
        <v>1.2750999999999999</v>
      </c>
      <c r="C13">
        <v>1.0612999999999999</v>
      </c>
      <c r="D13">
        <v>5.4300000000000001E-2</v>
      </c>
    </row>
    <row r="14" spans="1:7" x14ac:dyDescent="0.2">
      <c r="A14">
        <v>46021</v>
      </c>
      <c r="B14">
        <v>1.2741</v>
      </c>
      <c r="C14">
        <v>1.0611999999999999</v>
      </c>
      <c r="D14">
        <v>5.4199999999999998E-2</v>
      </c>
    </row>
    <row r="15" spans="1:7" x14ac:dyDescent="0.2">
      <c r="A15">
        <v>46022</v>
      </c>
      <c r="B15">
        <v>1.2727999999999999</v>
      </c>
      <c r="C15">
        <v>1.0609</v>
      </c>
      <c r="D15">
        <v>5.4100000000000002E-2</v>
      </c>
    </row>
    <row r="16" spans="1:7" x14ac:dyDescent="0.2">
      <c r="A16">
        <v>46023</v>
      </c>
      <c r="B16">
        <v>1.2263999999999999</v>
      </c>
      <c r="C16">
        <v>1.1006</v>
      </c>
      <c r="D16">
        <v>5.8900000000000001E-2</v>
      </c>
    </row>
    <row r="17" spans="1:4" x14ac:dyDescent="0.2">
      <c r="A17">
        <v>46024</v>
      </c>
      <c r="B17">
        <v>1.224</v>
      </c>
      <c r="C17">
        <v>1.0973999999999999</v>
      </c>
      <c r="D17">
        <v>5.8299999999999998E-2</v>
      </c>
    </row>
    <row r="18" spans="1:4" x14ac:dyDescent="0.2">
      <c r="A18">
        <v>46025</v>
      </c>
      <c r="B18">
        <v>1.2266999999999999</v>
      </c>
      <c r="C18">
        <v>1.1001000000000001</v>
      </c>
      <c r="D18">
        <v>5.8500000000000003E-2</v>
      </c>
    </row>
    <row r="19" spans="1:4" x14ac:dyDescent="0.2">
      <c r="A19">
        <v>46026</v>
      </c>
      <c r="B19">
        <v>1.2329000000000001</v>
      </c>
      <c r="C19">
        <v>1.1067</v>
      </c>
      <c r="D19">
        <v>5.9200000000000003E-2</v>
      </c>
    </row>
    <row r="20" spans="1:4" x14ac:dyDescent="0.2">
      <c r="A20">
        <v>46027</v>
      </c>
      <c r="B20">
        <v>1.2312000000000001</v>
      </c>
      <c r="C20">
        <v>1.1040000000000001</v>
      </c>
      <c r="D20">
        <v>5.8700000000000002E-2</v>
      </c>
    </row>
    <row r="21" spans="1:4" x14ac:dyDescent="0.2">
      <c r="A21">
        <v>46028</v>
      </c>
      <c r="B21">
        <v>1.2356</v>
      </c>
      <c r="C21">
        <v>1.1085</v>
      </c>
      <c r="D21">
        <v>5.91E-2</v>
      </c>
    </row>
    <row r="22" spans="1:4" x14ac:dyDescent="0.2">
      <c r="A22">
        <v>46029</v>
      </c>
      <c r="B22">
        <v>1.2371000000000001</v>
      </c>
      <c r="C22">
        <v>1.1095999999999999</v>
      </c>
      <c r="D22">
        <v>5.91E-2</v>
      </c>
    </row>
    <row r="23" spans="1:4" x14ac:dyDescent="0.2">
      <c r="A23">
        <v>46030</v>
      </c>
      <c r="B23">
        <v>1.2379</v>
      </c>
      <c r="C23">
        <v>1.1097999999999999</v>
      </c>
      <c r="D23">
        <v>5.8999999999999997E-2</v>
      </c>
    </row>
    <row r="24" spans="1:4" x14ac:dyDescent="0.2">
      <c r="A24">
        <v>46031</v>
      </c>
      <c r="B24">
        <v>1.2374000000000001</v>
      </c>
      <c r="C24">
        <v>1.1083000000000001</v>
      </c>
      <c r="D24">
        <v>5.8599999999999999E-2</v>
      </c>
    </row>
    <row r="25" spans="1:4" x14ac:dyDescent="0.2">
      <c r="A25">
        <v>46032</v>
      </c>
      <c r="B25">
        <v>1.2419</v>
      </c>
      <c r="C25">
        <v>1.1128</v>
      </c>
      <c r="D25">
        <v>5.8999999999999997E-2</v>
      </c>
    </row>
    <row r="26" spans="1:4" x14ac:dyDescent="0.2">
      <c r="A26">
        <v>46033</v>
      </c>
      <c r="B26">
        <v>1.2452000000000001</v>
      </c>
      <c r="C26">
        <v>1.1160000000000001</v>
      </c>
      <c r="D26">
        <v>5.9299999999999999E-2</v>
      </c>
    </row>
    <row r="27" spans="1:4" x14ac:dyDescent="0.2">
      <c r="A27">
        <v>46034</v>
      </c>
      <c r="B27">
        <v>1.2435</v>
      </c>
      <c r="C27">
        <v>1.113</v>
      </c>
      <c r="D27">
        <v>5.8700000000000002E-2</v>
      </c>
    </row>
    <row r="28" spans="1:4" x14ac:dyDescent="0.2">
      <c r="A28">
        <v>46035</v>
      </c>
      <c r="B28">
        <v>1.2487999999999999</v>
      </c>
      <c r="C28">
        <v>1.1185</v>
      </c>
      <c r="D28">
        <v>5.9299999999999999E-2</v>
      </c>
    </row>
    <row r="29" spans="1:4" x14ac:dyDescent="0.2">
      <c r="A29">
        <v>46036</v>
      </c>
      <c r="B29">
        <v>1.2484</v>
      </c>
      <c r="C29">
        <v>1.1171</v>
      </c>
      <c r="D29">
        <v>5.8900000000000001E-2</v>
      </c>
    </row>
    <row r="30" spans="1:4" x14ac:dyDescent="0.2">
      <c r="A30">
        <v>46037</v>
      </c>
      <c r="B30">
        <v>1.2499</v>
      </c>
      <c r="C30">
        <v>1.1178999999999999</v>
      </c>
      <c r="D30">
        <v>5.8799999999999998E-2</v>
      </c>
    </row>
    <row r="31" spans="1:4" x14ac:dyDescent="0.2">
      <c r="A31">
        <v>46038</v>
      </c>
      <c r="B31">
        <v>1.2470000000000001</v>
      </c>
      <c r="C31">
        <v>1.1133999999999999</v>
      </c>
      <c r="D31">
        <v>5.8099999999999999E-2</v>
      </c>
    </row>
    <row r="32" spans="1:4" x14ac:dyDescent="0.2">
      <c r="A32">
        <v>46039</v>
      </c>
      <c r="B32">
        <v>1.2525999999999999</v>
      </c>
      <c r="C32">
        <v>1.1193</v>
      </c>
      <c r="D32">
        <v>5.8700000000000002E-2</v>
      </c>
    </row>
    <row r="33" spans="1:4" x14ac:dyDescent="0.2">
      <c r="A33">
        <v>46040</v>
      </c>
      <c r="B33">
        <v>1.2557</v>
      </c>
      <c r="C33">
        <v>1.1221000000000001</v>
      </c>
      <c r="D33">
        <v>5.8900000000000001E-2</v>
      </c>
    </row>
    <row r="34" spans="1:4" x14ac:dyDescent="0.2">
      <c r="A34">
        <v>46041</v>
      </c>
      <c r="B34">
        <v>1.2566999999999999</v>
      </c>
      <c r="C34">
        <v>1.1223000000000001</v>
      </c>
      <c r="D34">
        <v>5.8700000000000002E-2</v>
      </c>
    </row>
    <row r="35" spans="1:4" x14ac:dyDescent="0.2">
      <c r="A35">
        <v>46042</v>
      </c>
      <c r="B35">
        <v>1.2612000000000001</v>
      </c>
      <c r="C35">
        <v>1.127</v>
      </c>
      <c r="D35">
        <v>5.9200000000000003E-2</v>
      </c>
    </row>
    <row r="36" spans="1:4" x14ac:dyDescent="0.2">
      <c r="A36">
        <v>46043</v>
      </c>
      <c r="B36">
        <v>1.2592000000000001</v>
      </c>
      <c r="C36">
        <v>1.1235999999999999</v>
      </c>
      <c r="D36">
        <v>5.8500000000000003E-2</v>
      </c>
    </row>
    <row r="37" spans="1:4" x14ac:dyDescent="0.2">
      <c r="A37">
        <v>46044</v>
      </c>
      <c r="B37">
        <v>1.2618</v>
      </c>
      <c r="C37">
        <v>1.1258999999999999</v>
      </c>
      <c r="D37">
        <v>5.8700000000000002E-2</v>
      </c>
    </row>
    <row r="38" spans="1:4" x14ac:dyDescent="0.2">
      <c r="A38">
        <v>46045</v>
      </c>
      <c r="B38">
        <v>1.2643</v>
      </c>
      <c r="C38">
        <v>1.1281000000000001</v>
      </c>
      <c r="D38">
        <v>5.8799999999999998E-2</v>
      </c>
    </row>
    <row r="39" spans="1:4" x14ac:dyDescent="0.2">
      <c r="A39">
        <v>46046</v>
      </c>
      <c r="B39">
        <v>1.2596000000000001</v>
      </c>
      <c r="C39">
        <v>1.1214</v>
      </c>
      <c r="D39">
        <v>5.7700000000000001E-2</v>
      </c>
    </row>
    <row r="40" spans="1:4" x14ac:dyDescent="0.2">
      <c r="A40">
        <v>46047</v>
      </c>
      <c r="B40">
        <v>1.2675000000000001</v>
      </c>
      <c r="C40">
        <v>1.1303000000000001</v>
      </c>
      <c r="D40">
        <v>5.8799999999999998E-2</v>
      </c>
    </row>
    <row r="41" spans="1:4" x14ac:dyDescent="0.2">
      <c r="A41">
        <v>46048</v>
      </c>
      <c r="B41">
        <v>1.2661</v>
      </c>
      <c r="C41">
        <v>1.1277999999999999</v>
      </c>
      <c r="D41">
        <v>5.8299999999999998E-2</v>
      </c>
    </row>
    <row r="42" spans="1:4" x14ac:dyDescent="0.2">
      <c r="A42">
        <v>46049</v>
      </c>
      <c r="B42">
        <v>1.2678</v>
      </c>
      <c r="C42">
        <v>1.1292</v>
      </c>
      <c r="D42">
        <v>5.8299999999999998E-2</v>
      </c>
    </row>
    <row r="43" spans="1:4" x14ac:dyDescent="0.2">
      <c r="A43">
        <v>46050</v>
      </c>
      <c r="B43">
        <v>1.2686999999999999</v>
      </c>
      <c r="C43">
        <v>1.1296999999999999</v>
      </c>
      <c r="D43">
        <v>5.8200000000000002E-2</v>
      </c>
    </row>
    <row r="44" spans="1:4" x14ac:dyDescent="0.2">
      <c r="A44">
        <v>46051</v>
      </c>
      <c r="B44">
        <v>1.2684</v>
      </c>
      <c r="C44">
        <v>1.1285000000000001</v>
      </c>
      <c r="D44">
        <v>5.79E-2</v>
      </c>
    </row>
    <row r="45" spans="1:4" x14ac:dyDescent="0.2">
      <c r="A45">
        <v>46052</v>
      </c>
      <c r="B45">
        <v>1.2709999999999999</v>
      </c>
      <c r="C45">
        <v>1.1312</v>
      </c>
      <c r="D45">
        <v>5.8099999999999999E-2</v>
      </c>
    </row>
    <row r="46" spans="1:4" x14ac:dyDescent="0.2">
      <c r="A46">
        <v>46053</v>
      </c>
      <c r="B46">
        <v>1.2710999999999999</v>
      </c>
      <c r="C46">
        <v>1.1308</v>
      </c>
      <c r="D46">
        <v>5.79E-2</v>
      </c>
    </row>
    <row r="47" spans="1:4" x14ac:dyDescent="0.2">
      <c r="A47">
        <v>46054</v>
      </c>
      <c r="B47">
        <v>1.2745</v>
      </c>
      <c r="C47">
        <v>1.1345000000000001</v>
      </c>
      <c r="D47">
        <v>5.8200000000000002E-2</v>
      </c>
    </row>
    <row r="48" spans="1:4" x14ac:dyDescent="0.2">
      <c r="A48">
        <v>46055</v>
      </c>
      <c r="B48">
        <v>1.2786</v>
      </c>
      <c r="C48">
        <v>1.1394</v>
      </c>
      <c r="D48">
        <v>5.8700000000000002E-2</v>
      </c>
    </row>
    <row r="49" spans="1:4" x14ac:dyDescent="0.2">
      <c r="A49">
        <v>46056</v>
      </c>
      <c r="B49">
        <v>1.2702</v>
      </c>
      <c r="C49">
        <v>1.1283000000000001</v>
      </c>
      <c r="D49">
        <v>5.7099999999999998E-2</v>
      </c>
    </row>
    <row r="50" spans="1:4" x14ac:dyDescent="0.2">
      <c r="A50">
        <v>46057</v>
      </c>
      <c r="B50">
        <v>1.2736000000000001</v>
      </c>
      <c r="C50">
        <v>1.1323000000000001</v>
      </c>
      <c r="D50">
        <v>5.7500000000000002E-2</v>
      </c>
    </row>
    <row r="51" spans="1:4" x14ac:dyDescent="0.2">
      <c r="A51">
        <v>46058</v>
      </c>
      <c r="B51">
        <v>1.2759</v>
      </c>
      <c r="C51">
        <v>1.1349</v>
      </c>
      <c r="D51">
        <v>5.7700000000000001E-2</v>
      </c>
    </row>
    <row r="52" spans="1:4" x14ac:dyDescent="0.2">
      <c r="A52">
        <v>46059</v>
      </c>
      <c r="B52">
        <v>1.2784</v>
      </c>
      <c r="C52">
        <v>1.1378999999999999</v>
      </c>
      <c r="D52">
        <v>5.8000000000000003E-2</v>
      </c>
    </row>
    <row r="53" spans="1:4" x14ac:dyDescent="0.2">
      <c r="A53">
        <v>46060</v>
      </c>
      <c r="B53">
        <v>1.2774000000000001</v>
      </c>
      <c r="C53">
        <v>1.1364000000000001</v>
      </c>
      <c r="D53">
        <v>5.7599999999999998E-2</v>
      </c>
    </row>
    <row r="54" spans="1:4" x14ac:dyDescent="0.2">
      <c r="A54">
        <v>46061</v>
      </c>
      <c r="B54">
        <v>1.2778</v>
      </c>
      <c r="C54">
        <v>1.1368</v>
      </c>
      <c r="D54">
        <v>5.7599999999999998E-2</v>
      </c>
    </row>
    <row r="55" spans="1:4" x14ac:dyDescent="0.2">
      <c r="A55">
        <v>46062</v>
      </c>
      <c r="B55">
        <v>1.2769999999999999</v>
      </c>
      <c r="C55">
        <v>1.1357999999999999</v>
      </c>
      <c r="D55">
        <v>5.7299999999999997E-2</v>
      </c>
    </row>
    <row r="56" spans="1:4" x14ac:dyDescent="0.2">
      <c r="A56">
        <v>46063</v>
      </c>
      <c r="B56">
        <v>1.2794000000000001</v>
      </c>
      <c r="C56">
        <v>1.139</v>
      </c>
      <c r="D56">
        <v>5.7599999999999998E-2</v>
      </c>
    </row>
    <row r="57" spans="1:4" x14ac:dyDescent="0.2">
      <c r="A57">
        <v>46064</v>
      </c>
      <c r="B57">
        <v>1.2783</v>
      </c>
      <c r="C57">
        <v>1.1376999999999999</v>
      </c>
      <c r="D57">
        <v>5.7299999999999997E-2</v>
      </c>
    </row>
    <row r="58" spans="1:4" x14ac:dyDescent="0.2">
      <c r="A58">
        <v>46065</v>
      </c>
      <c r="B58">
        <v>1.2791999999999999</v>
      </c>
      <c r="C58">
        <v>1.1391</v>
      </c>
      <c r="D58">
        <v>5.74E-2</v>
      </c>
    </row>
    <row r="59" spans="1:4" x14ac:dyDescent="0.2">
      <c r="A59">
        <v>46066</v>
      </c>
      <c r="B59">
        <v>1.2770999999999999</v>
      </c>
      <c r="C59">
        <v>1.1366000000000001</v>
      </c>
      <c r="D59">
        <v>5.6899999999999999E-2</v>
      </c>
    </row>
    <row r="60" spans="1:4" x14ac:dyDescent="0.2">
      <c r="A60">
        <v>46067</v>
      </c>
      <c r="B60">
        <v>1.2758</v>
      </c>
      <c r="C60">
        <v>1.1354</v>
      </c>
      <c r="D60">
        <v>5.67E-2</v>
      </c>
    </row>
    <row r="61" spans="1:4" x14ac:dyDescent="0.2">
      <c r="A61">
        <v>46068</v>
      </c>
      <c r="B61">
        <v>1.2771999999999999</v>
      </c>
      <c r="C61">
        <v>1.1375</v>
      </c>
      <c r="D61">
        <v>5.6800000000000003E-2</v>
      </c>
    </row>
    <row r="62" spans="1:4" x14ac:dyDescent="0.2">
      <c r="A62">
        <v>46069</v>
      </c>
      <c r="B62">
        <v>1.2798</v>
      </c>
      <c r="C62">
        <v>1.1413</v>
      </c>
      <c r="D62">
        <v>5.7200000000000001E-2</v>
      </c>
    </row>
    <row r="63" spans="1:4" x14ac:dyDescent="0.2">
      <c r="A63">
        <v>46070</v>
      </c>
      <c r="B63">
        <v>1.2743</v>
      </c>
      <c r="C63">
        <v>1.1348</v>
      </c>
      <c r="D63">
        <v>5.6300000000000003E-2</v>
      </c>
    </row>
    <row r="64" spans="1:4" x14ac:dyDescent="0.2">
      <c r="A64">
        <v>46071</v>
      </c>
      <c r="B64">
        <v>1.2795000000000001</v>
      </c>
      <c r="C64">
        <v>1.1419999999999999</v>
      </c>
      <c r="D64">
        <v>5.7099999999999998E-2</v>
      </c>
    </row>
    <row r="65" spans="1:4" x14ac:dyDescent="0.2">
      <c r="A65">
        <v>46072</v>
      </c>
      <c r="B65">
        <v>1.2798</v>
      </c>
      <c r="C65">
        <v>1.143</v>
      </c>
      <c r="D65">
        <v>5.7200000000000001E-2</v>
      </c>
    </row>
    <row r="66" spans="1:4" x14ac:dyDescent="0.2">
      <c r="A66">
        <v>46073</v>
      </c>
      <c r="B66">
        <v>1.2758</v>
      </c>
      <c r="C66">
        <v>1.1386000000000001</v>
      </c>
      <c r="D66">
        <v>5.6500000000000002E-2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0F3E7-AB1E-7C4D-9CE4-E85EE08CB7C1}">
  <sheetPr codeName="Sheet7"/>
  <dimension ref="A1:D9"/>
  <sheetViews>
    <sheetView workbookViewId="0">
      <selection activeCell="G19" sqref="G19"/>
    </sheetView>
  </sheetViews>
  <sheetFormatPr baseColWidth="10" defaultRowHeight="16" x14ac:dyDescent="0.2"/>
  <cols>
    <col min="1" max="1" width="11.6640625" customWidth="1"/>
    <col min="2" max="2" width="13.5" customWidth="1"/>
    <col min="4" max="4" width="25" bestFit="1" customWidth="1"/>
  </cols>
  <sheetData>
    <row r="1" spans="1:4" x14ac:dyDescent="0.2">
      <c r="A1" s="3" t="s">
        <v>0</v>
      </c>
      <c r="B1" s="3" t="s">
        <v>1</v>
      </c>
      <c r="C1" s="3" t="s">
        <v>2</v>
      </c>
      <c r="D1" s="3" t="s">
        <v>3</v>
      </c>
    </row>
    <row r="2" spans="1:4" x14ac:dyDescent="0.2">
      <c r="A2" s="5">
        <v>46073</v>
      </c>
      <c r="B2" s="3" t="s">
        <v>4</v>
      </c>
      <c r="C2" s="3" t="s">
        <v>5</v>
      </c>
      <c r="D2" s="6">
        <v>5.1474006710797923E-2</v>
      </c>
    </row>
    <row r="3" spans="1:4" x14ac:dyDescent="0.2">
      <c r="A3" s="5">
        <v>46073</v>
      </c>
      <c r="B3" s="3" t="s">
        <v>4</v>
      </c>
      <c r="C3" s="3" t="s">
        <v>6</v>
      </c>
      <c r="D3" s="6">
        <v>5.1019461256252466E-2</v>
      </c>
    </row>
    <row r="4" spans="1:4" x14ac:dyDescent="0.2">
      <c r="A4" s="5">
        <v>46073</v>
      </c>
      <c r="B4" s="3" t="s">
        <v>4</v>
      </c>
      <c r="C4" s="3" t="s">
        <v>7</v>
      </c>
      <c r="D4" s="6">
        <v>5.0337643074434286E-2</v>
      </c>
    </row>
    <row r="5" spans="1:4" x14ac:dyDescent="0.2">
      <c r="A5" s="5">
        <v>46073</v>
      </c>
      <c r="B5" s="3" t="s">
        <v>4</v>
      </c>
      <c r="C5" s="3" t="s">
        <v>8</v>
      </c>
      <c r="D5" s="6">
        <v>4.8974006710797921E-2</v>
      </c>
    </row>
    <row r="6" spans="1:4" x14ac:dyDescent="0.2">
      <c r="A6" s="5">
        <v>46073</v>
      </c>
      <c r="B6" s="3" t="s">
        <v>4</v>
      </c>
      <c r="C6" s="3" t="s">
        <v>9</v>
      </c>
      <c r="D6" s="6">
        <v>4.8474006710797921E-2</v>
      </c>
    </row>
    <row r="7" spans="1:4" x14ac:dyDescent="0.2">
      <c r="A7" s="5">
        <v>46073</v>
      </c>
      <c r="B7" s="3" t="s">
        <v>4</v>
      </c>
      <c r="C7" s="3" t="s">
        <v>10</v>
      </c>
      <c r="D7" s="6">
        <v>4.6974006710797919E-2</v>
      </c>
    </row>
    <row r="8" spans="1:4" x14ac:dyDescent="0.2">
      <c r="A8" s="5">
        <v>46073</v>
      </c>
      <c r="B8" s="3" t="s">
        <v>4</v>
      </c>
      <c r="C8" s="3" t="s">
        <v>11</v>
      </c>
      <c r="D8" s="6">
        <v>4.677400671079792E-2</v>
      </c>
    </row>
    <row r="9" spans="1:4" x14ac:dyDescent="0.2">
      <c r="A9" s="5">
        <v>46073</v>
      </c>
      <c r="B9" s="3" t="s">
        <v>4</v>
      </c>
      <c r="C9" s="3" t="s">
        <v>12</v>
      </c>
      <c r="D9" s="6">
        <v>4.5974006710797918E-2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987FF-47E3-544B-B48A-B10D356A81A7}">
  <sheetPr codeName="Sheet8"/>
  <dimension ref="A1:C9"/>
  <sheetViews>
    <sheetView workbookViewId="0">
      <selection activeCell="A3" sqref="A3"/>
    </sheetView>
  </sheetViews>
  <sheetFormatPr baseColWidth="10" defaultRowHeight="16" x14ac:dyDescent="0.2"/>
  <cols>
    <col min="2" max="2" width="18" customWidth="1"/>
    <col min="3" max="3" width="18.1640625" customWidth="1"/>
  </cols>
  <sheetData>
    <row r="1" spans="1:3" x14ac:dyDescent="0.2">
      <c r="A1" s="3" t="s">
        <v>18</v>
      </c>
      <c r="B1" s="3" t="s">
        <v>19</v>
      </c>
      <c r="C1" s="3" t="s">
        <v>20</v>
      </c>
    </row>
    <row r="2" spans="1:3" x14ac:dyDescent="0.2">
      <c r="A2" s="3" t="s">
        <v>21</v>
      </c>
      <c r="B2" s="3" t="s">
        <v>22</v>
      </c>
      <c r="C2" s="7">
        <v>30</v>
      </c>
    </row>
    <row r="3" spans="1:3" x14ac:dyDescent="0.2">
      <c r="A3" s="3" t="s">
        <v>21</v>
      </c>
      <c r="B3" s="3" t="s">
        <v>23</v>
      </c>
      <c r="C3" s="7">
        <v>60</v>
      </c>
    </row>
    <row r="4" spans="1:3" x14ac:dyDescent="0.2">
      <c r="A4" s="3" t="s">
        <v>24</v>
      </c>
      <c r="B4" s="3" t="s">
        <v>22</v>
      </c>
      <c r="C4" s="7">
        <v>85</v>
      </c>
    </row>
    <row r="5" spans="1:3" x14ac:dyDescent="0.2">
      <c r="A5" s="3" t="s">
        <v>24</v>
      </c>
      <c r="B5" s="3" t="s">
        <v>23</v>
      </c>
      <c r="C5" s="7">
        <v>25</v>
      </c>
    </row>
    <row r="6" spans="1:3" x14ac:dyDescent="0.2">
      <c r="A6" s="3" t="s">
        <v>25</v>
      </c>
      <c r="B6" s="3" t="s">
        <v>22</v>
      </c>
      <c r="C6" s="7">
        <v>305</v>
      </c>
    </row>
    <row r="7" spans="1:3" x14ac:dyDescent="0.2">
      <c r="A7" s="3" t="s">
        <v>25</v>
      </c>
      <c r="B7" s="3" t="s">
        <v>23</v>
      </c>
      <c r="C7" s="7">
        <v>150</v>
      </c>
    </row>
    <row r="8" spans="1:3" x14ac:dyDescent="0.2">
      <c r="A8" s="3" t="s">
        <v>26</v>
      </c>
      <c r="B8" s="3" t="s">
        <v>22</v>
      </c>
      <c r="C8" s="7">
        <v>380</v>
      </c>
    </row>
    <row r="9" spans="1:3" x14ac:dyDescent="0.2">
      <c r="A9" s="3" t="s">
        <v>26</v>
      </c>
      <c r="B9" s="3" t="s">
        <v>23</v>
      </c>
      <c r="C9" s="7">
        <v>405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0ED56-6F72-2348-B95D-711476483FB1}">
  <sheetPr codeName="Sheet9"/>
  <dimension ref="A1:B5"/>
  <sheetViews>
    <sheetView zoomScale="125" workbookViewId="0">
      <selection sqref="A1:B5"/>
    </sheetView>
  </sheetViews>
  <sheetFormatPr baseColWidth="10" defaultRowHeight="16" x14ac:dyDescent="0.2"/>
  <cols>
    <col min="2" max="2" width="11.1640625" customWidth="1"/>
  </cols>
  <sheetData>
    <row r="1" spans="1:2" x14ac:dyDescent="0.2">
      <c r="A1" s="3" t="s">
        <v>18</v>
      </c>
      <c r="B1" s="3" t="s">
        <v>27</v>
      </c>
    </row>
    <row r="2" spans="1:2" x14ac:dyDescent="0.2">
      <c r="A2" s="3" t="s">
        <v>21</v>
      </c>
      <c r="B2" s="2">
        <v>1282.08</v>
      </c>
    </row>
    <row r="3" spans="1:2" x14ac:dyDescent="0.2">
      <c r="A3" s="3" t="s">
        <v>24</v>
      </c>
      <c r="B3" s="2">
        <v>-10341.67</v>
      </c>
    </row>
    <row r="4" spans="1:2" x14ac:dyDescent="0.2">
      <c r="A4" s="3" t="s">
        <v>25</v>
      </c>
      <c r="B4" s="2">
        <v>-84086.25</v>
      </c>
    </row>
    <row r="5" spans="1:2" x14ac:dyDescent="0.2">
      <c r="A5" s="3" t="s">
        <v>26</v>
      </c>
      <c r="B5" s="2">
        <v>165575.28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DC1E1-23AB-DF43-A7F2-FD0AFAF2E566}">
  <sheetPr codeName="Sheet10"/>
  <dimension ref="A1:E62"/>
  <sheetViews>
    <sheetView workbookViewId="0">
      <selection activeCell="C6" sqref="C6"/>
    </sheetView>
  </sheetViews>
  <sheetFormatPr baseColWidth="10" defaultRowHeight="16" x14ac:dyDescent="0.2"/>
  <cols>
    <col min="1" max="1" width="11.6640625" customWidth="1"/>
    <col min="2" max="2" width="12.83203125" customWidth="1"/>
  </cols>
  <sheetData>
    <row r="1" spans="1:5" x14ac:dyDescent="0.2">
      <c r="A1" s="3" t="s">
        <v>0</v>
      </c>
      <c r="B1" s="3" t="s">
        <v>28</v>
      </c>
      <c r="C1" s="3" t="s">
        <v>29</v>
      </c>
      <c r="D1" s="3" t="s">
        <v>30</v>
      </c>
      <c r="E1" s="3" t="s">
        <v>31</v>
      </c>
    </row>
    <row r="2" spans="1:5" x14ac:dyDescent="0.2">
      <c r="A2" s="5">
        <v>46013</v>
      </c>
      <c r="B2" s="4">
        <v>2</v>
      </c>
      <c r="C2" s="8">
        <v>1.2762</v>
      </c>
      <c r="D2" s="8">
        <v>1.0583</v>
      </c>
      <c r="E2" s="6">
        <v>5.4399999999999997E-2</v>
      </c>
    </row>
    <row r="3" spans="1:5" x14ac:dyDescent="0.2">
      <c r="A3" s="5">
        <v>46014</v>
      </c>
      <c r="B3" s="4">
        <v>2</v>
      </c>
      <c r="C3" s="8">
        <v>1.2749999999999999</v>
      </c>
      <c r="D3" s="8">
        <v>1.0569999999999999</v>
      </c>
      <c r="E3" s="6">
        <v>5.4199999999999998E-2</v>
      </c>
    </row>
    <row r="4" spans="1:5" x14ac:dyDescent="0.2">
      <c r="A4" s="5">
        <v>46015</v>
      </c>
      <c r="B4" s="4">
        <v>2</v>
      </c>
      <c r="C4" s="8">
        <v>1.2763</v>
      </c>
      <c r="D4" s="8">
        <v>1.0590999999999999</v>
      </c>
      <c r="E4" s="6">
        <v>5.4399999999999997E-2</v>
      </c>
    </row>
    <row r="5" spans="1:5" x14ac:dyDescent="0.2">
      <c r="A5" s="5">
        <v>46016</v>
      </c>
      <c r="B5" s="4">
        <v>2</v>
      </c>
      <c r="C5" s="8">
        <v>1.2782</v>
      </c>
      <c r="D5" s="8">
        <v>1.0620000000000001</v>
      </c>
      <c r="E5" s="6">
        <v>5.4699999999999999E-2</v>
      </c>
    </row>
    <row r="6" spans="1:5" x14ac:dyDescent="0.2">
      <c r="A6" s="5">
        <v>46017</v>
      </c>
      <c r="B6" s="4">
        <v>2</v>
      </c>
      <c r="C6" s="8">
        <v>1.2730999999999999</v>
      </c>
      <c r="D6" s="8">
        <v>1.0562</v>
      </c>
      <c r="E6" s="6">
        <v>5.3900000000000003E-2</v>
      </c>
    </row>
    <row r="7" spans="1:5" x14ac:dyDescent="0.2">
      <c r="A7" s="5">
        <v>46018</v>
      </c>
      <c r="B7" s="4">
        <v>2</v>
      </c>
      <c r="C7" s="8">
        <v>1.2758</v>
      </c>
      <c r="D7" s="8">
        <v>1.0603</v>
      </c>
      <c r="E7" s="6">
        <v>5.4399999999999997E-2</v>
      </c>
    </row>
    <row r="8" spans="1:5" x14ac:dyDescent="0.2">
      <c r="A8" s="5">
        <v>46019</v>
      </c>
      <c r="B8" s="4">
        <v>2</v>
      </c>
      <c r="C8" s="8">
        <v>1.2746</v>
      </c>
      <c r="D8" s="8">
        <v>1.0597000000000001</v>
      </c>
      <c r="E8" s="6">
        <v>5.4199999999999998E-2</v>
      </c>
    </row>
    <row r="9" spans="1:5" x14ac:dyDescent="0.2">
      <c r="A9" s="5">
        <v>46020</v>
      </c>
      <c r="B9" s="4">
        <v>2</v>
      </c>
      <c r="C9" s="8">
        <v>1.2750999999999999</v>
      </c>
      <c r="D9" s="8">
        <v>1.0612999999999999</v>
      </c>
      <c r="E9" s="6">
        <v>5.4300000000000001E-2</v>
      </c>
    </row>
    <row r="10" spans="1:5" x14ac:dyDescent="0.2">
      <c r="A10" s="5">
        <v>46021</v>
      </c>
      <c r="B10" s="4">
        <v>2</v>
      </c>
      <c r="C10" s="8">
        <v>1.2741</v>
      </c>
      <c r="D10" s="8">
        <v>1.0611999999999999</v>
      </c>
      <c r="E10" s="6">
        <v>5.4199999999999998E-2</v>
      </c>
    </row>
    <row r="11" spans="1:5" x14ac:dyDescent="0.2">
      <c r="A11" s="5">
        <v>46022</v>
      </c>
      <c r="B11" s="4">
        <v>2</v>
      </c>
      <c r="C11" s="8">
        <v>1.2727999999999999</v>
      </c>
      <c r="D11" s="8">
        <v>1.0609</v>
      </c>
      <c r="E11" s="6">
        <v>5.4100000000000002E-2</v>
      </c>
    </row>
    <row r="12" spans="1:5" x14ac:dyDescent="0.2">
      <c r="A12" s="5">
        <v>46023</v>
      </c>
      <c r="B12" s="4">
        <v>2</v>
      </c>
      <c r="C12" s="8">
        <v>1.2263999999999999</v>
      </c>
      <c r="D12" s="8">
        <v>1.1006</v>
      </c>
      <c r="E12" s="6">
        <v>5.8900000000000001E-2</v>
      </c>
    </row>
    <row r="13" spans="1:5" x14ac:dyDescent="0.2">
      <c r="A13" s="5">
        <v>46024</v>
      </c>
      <c r="B13" s="4">
        <v>2</v>
      </c>
      <c r="C13" s="8">
        <v>1.224</v>
      </c>
      <c r="D13" s="8">
        <v>1.0973999999999999</v>
      </c>
      <c r="E13" s="6">
        <v>5.8299999999999998E-2</v>
      </c>
    </row>
    <row r="14" spans="1:5" x14ac:dyDescent="0.2">
      <c r="A14" s="5">
        <v>46025</v>
      </c>
      <c r="B14" s="4">
        <v>2</v>
      </c>
      <c r="C14" s="8">
        <v>1.2266999999999999</v>
      </c>
      <c r="D14" s="8">
        <v>1.1001000000000001</v>
      </c>
      <c r="E14" s="6">
        <v>5.8500000000000003E-2</v>
      </c>
    </row>
    <row r="15" spans="1:5" x14ac:dyDescent="0.2">
      <c r="A15" s="5">
        <v>46026</v>
      </c>
      <c r="B15" s="4">
        <v>2</v>
      </c>
      <c r="C15" s="8">
        <v>1.2329000000000001</v>
      </c>
      <c r="D15" s="8">
        <v>1.1067</v>
      </c>
      <c r="E15" s="6">
        <v>5.9200000000000003E-2</v>
      </c>
    </row>
    <row r="16" spans="1:5" x14ac:dyDescent="0.2">
      <c r="A16" s="5">
        <v>46027</v>
      </c>
      <c r="B16" s="4">
        <v>2</v>
      </c>
      <c r="C16" s="8">
        <v>1.2312000000000001</v>
      </c>
      <c r="D16" s="8">
        <v>1.1040000000000001</v>
      </c>
      <c r="E16" s="6">
        <v>5.8700000000000002E-2</v>
      </c>
    </row>
    <row r="17" spans="1:5" x14ac:dyDescent="0.2">
      <c r="A17" s="5">
        <v>46028</v>
      </c>
      <c r="B17" s="4">
        <v>2</v>
      </c>
      <c r="C17" s="8">
        <v>1.2356</v>
      </c>
      <c r="D17" s="8">
        <v>1.1085</v>
      </c>
      <c r="E17" s="6">
        <v>5.91E-2</v>
      </c>
    </row>
    <row r="18" spans="1:5" x14ac:dyDescent="0.2">
      <c r="A18" s="5">
        <v>46029</v>
      </c>
      <c r="B18" s="4">
        <v>2</v>
      </c>
      <c r="C18" s="8">
        <v>1.2371000000000001</v>
      </c>
      <c r="D18" s="8">
        <v>1.1095999999999999</v>
      </c>
      <c r="E18" s="6">
        <v>5.91E-2</v>
      </c>
    </row>
    <row r="19" spans="1:5" x14ac:dyDescent="0.2">
      <c r="A19" s="5">
        <v>46030</v>
      </c>
      <c r="B19" s="4">
        <v>2</v>
      </c>
      <c r="C19" s="8">
        <v>1.2379</v>
      </c>
      <c r="D19" s="8">
        <v>1.1097999999999999</v>
      </c>
      <c r="E19" s="6">
        <v>5.8999999999999997E-2</v>
      </c>
    </row>
    <row r="20" spans="1:5" x14ac:dyDescent="0.2">
      <c r="A20" s="5">
        <v>46031</v>
      </c>
      <c r="B20" s="4">
        <v>2</v>
      </c>
      <c r="C20" s="8">
        <v>1.2374000000000001</v>
      </c>
      <c r="D20" s="8">
        <v>1.1083000000000001</v>
      </c>
      <c r="E20" s="6">
        <v>5.8599999999999999E-2</v>
      </c>
    </row>
    <row r="21" spans="1:5" x14ac:dyDescent="0.2">
      <c r="A21" s="5">
        <v>46032</v>
      </c>
      <c r="B21" s="4">
        <v>2</v>
      </c>
      <c r="C21" s="8">
        <v>1.2419</v>
      </c>
      <c r="D21" s="8">
        <v>1.1128</v>
      </c>
      <c r="E21" s="6">
        <v>5.8999999999999997E-2</v>
      </c>
    </row>
    <row r="22" spans="1:5" x14ac:dyDescent="0.2">
      <c r="A22" s="5">
        <v>46033</v>
      </c>
      <c r="B22" s="4">
        <v>2</v>
      </c>
      <c r="C22" s="8">
        <v>1.2452000000000001</v>
      </c>
      <c r="D22" s="8">
        <v>1.1160000000000001</v>
      </c>
      <c r="E22" s="6">
        <v>5.9299999999999999E-2</v>
      </c>
    </row>
    <row r="23" spans="1:5" x14ac:dyDescent="0.2">
      <c r="A23" s="5">
        <v>46034</v>
      </c>
      <c r="B23" s="4">
        <v>2</v>
      </c>
      <c r="C23" s="8">
        <v>1.2435</v>
      </c>
      <c r="D23" s="8">
        <v>1.113</v>
      </c>
      <c r="E23" s="6">
        <v>5.8700000000000002E-2</v>
      </c>
    </row>
    <row r="24" spans="1:5" x14ac:dyDescent="0.2">
      <c r="A24" s="5">
        <v>46035</v>
      </c>
      <c r="B24" s="4">
        <v>2</v>
      </c>
      <c r="C24" s="8">
        <v>1.2487999999999999</v>
      </c>
      <c r="D24" s="8">
        <v>1.1185</v>
      </c>
      <c r="E24" s="6">
        <v>5.9299999999999999E-2</v>
      </c>
    </row>
    <row r="25" spans="1:5" x14ac:dyDescent="0.2">
      <c r="A25" s="5">
        <v>46036</v>
      </c>
      <c r="B25" s="4">
        <v>2</v>
      </c>
      <c r="C25" s="8">
        <v>1.2484</v>
      </c>
      <c r="D25" s="8">
        <v>1.1171</v>
      </c>
      <c r="E25" s="6">
        <v>5.8900000000000001E-2</v>
      </c>
    </row>
    <row r="26" spans="1:5" x14ac:dyDescent="0.2">
      <c r="A26" s="5">
        <v>46037</v>
      </c>
      <c r="B26" s="4">
        <v>2</v>
      </c>
      <c r="C26" s="8">
        <v>1.2499</v>
      </c>
      <c r="D26" s="8">
        <v>1.1178999999999999</v>
      </c>
      <c r="E26" s="6">
        <v>5.8799999999999998E-2</v>
      </c>
    </row>
    <row r="27" spans="1:5" x14ac:dyDescent="0.2">
      <c r="A27" s="5">
        <v>46038</v>
      </c>
      <c r="B27" s="4">
        <v>2</v>
      </c>
      <c r="C27" s="8">
        <v>1.2470000000000001</v>
      </c>
      <c r="D27" s="8">
        <v>1.1133999999999999</v>
      </c>
      <c r="E27" s="6">
        <v>5.8099999999999999E-2</v>
      </c>
    </row>
    <row r="28" spans="1:5" x14ac:dyDescent="0.2">
      <c r="A28" s="5">
        <v>46039</v>
      </c>
      <c r="B28" s="4">
        <v>2</v>
      </c>
      <c r="C28" s="8">
        <v>1.2525999999999999</v>
      </c>
      <c r="D28" s="8">
        <v>1.1193</v>
      </c>
      <c r="E28" s="6">
        <v>5.8700000000000002E-2</v>
      </c>
    </row>
    <row r="29" spans="1:5" x14ac:dyDescent="0.2">
      <c r="A29" s="5">
        <v>46040</v>
      </c>
      <c r="B29" s="4">
        <v>2</v>
      </c>
      <c r="C29" s="8">
        <v>1.2557</v>
      </c>
      <c r="D29" s="8">
        <v>1.1221000000000001</v>
      </c>
      <c r="E29" s="6">
        <v>5.8900000000000001E-2</v>
      </c>
    </row>
    <row r="30" spans="1:5" x14ac:dyDescent="0.2">
      <c r="A30" s="5">
        <v>46041</v>
      </c>
      <c r="B30" s="4">
        <v>2</v>
      </c>
      <c r="C30" s="8">
        <v>1.2566999999999999</v>
      </c>
      <c r="D30" s="8">
        <v>1.1223000000000001</v>
      </c>
      <c r="E30" s="6">
        <v>5.8700000000000002E-2</v>
      </c>
    </row>
    <row r="31" spans="1:5" x14ac:dyDescent="0.2">
      <c r="A31" s="5">
        <v>46042</v>
      </c>
      <c r="B31" s="4">
        <v>2</v>
      </c>
      <c r="C31" s="8">
        <v>1.2612000000000001</v>
      </c>
      <c r="D31" s="8">
        <v>1.127</v>
      </c>
      <c r="E31" s="6">
        <v>5.9200000000000003E-2</v>
      </c>
    </row>
    <row r="32" spans="1:5" x14ac:dyDescent="0.2">
      <c r="A32" s="5">
        <v>46043</v>
      </c>
      <c r="B32" s="4">
        <v>2</v>
      </c>
      <c r="C32" s="8">
        <v>1.2592000000000001</v>
      </c>
      <c r="D32" s="8">
        <v>1.1235999999999999</v>
      </c>
      <c r="E32" s="6">
        <v>5.8500000000000003E-2</v>
      </c>
    </row>
    <row r="33" spans="1:5" x14ac:dyDescent="0.2">
      <c r="A33" s="5">
        <v>46044</v>
      </c>
      <c r="B33" s="4">
        <v>2</v>
      </c>
      <c r="C33" s="8">
        <v>1.2618</v>
      </c>
      <c r="D33" s="8">
        <v>1.1258999999999999</v>
      </c>
      <c r="E33" s="6">
        <v>5.8700000000000002E-2</v>
      </c>
    </row>
    <row r="34" spans="1:5" x14ac:dyDescent="0.2">
      <c r="A34" s="5">
        <v>46045</v>
      </c>
      <c r="B34" s="4">
        <v>2</v>
      </c>
      <c r="C34" s="8">
        <v>1.2643</v>
      </c>
      <c r="D34" s="8">
        <v>1.1281000000000001</v>
      </c>
      <c r="E34" s="6">
        <v>5.8799999999999998E-2</v>
      </c>
    </row>
    <row r="35" spans="1:5" x14ac:dyDescent="0.2">
      <c r="A35" s="5">
        <v>46046</v>
      </c>
      <c r="B35" s="4">
        <v>2</v>
      </c>
      <c r="C35" s="8">
        <v>1.2596000000000001</v>
      </c>
      <c r="D35" s="8">
        <v>1.1214</v>
      </c>
      <c r="E35" s="6">
        <v>5.7700000000000001E-2</v>
      </c>
    </row>
    <row r="36" spans="1:5" x14ac:dyDescent="0.2">
      <c r="A36" s="5">
        <v>46047</v>
      </c>
      <c r="B36" s="4">
        <v>2</v>
      </c>
      <c r="C36" s="8">
        <v>1.2675000000000001</v>
      </c>
      <c r="D36" s="8">
        <v>1.1303000000000001</v>
      </c>
      <c r="E36" s="6">
        <v>5.8799999999999998E-2</v>
      </c>
    </row>
    <row r="37" spans="1:5" x14ac:dyDescent="0.2">
      <c r="A37" s="5">
        <v>46048</v>
      </c>
      <c r="B37" s="4">
        <v>2</v>
      </c>
      <c r="C37" s="8">
        <v>1.2661</v>
      </c>
      <c r="D37" s="8">
        <v>1.1277999999999999</v>
      </c>
      <c r="E37" s="6">
        <v>5.8299999999999998E-2</v>
      </c>
    </row>
    <row r="38" spans="1:5" x14ac:dyDescent="0.2">
      <c r="A38" s="5">
        <v>46049</v>
      </c>
      <c r="B38" s="4">
        <v>2</v>
      </c>
      <c r="C38" s="8">
        <v>1.2678</v>
      </c>
      <c r="D38" s="8">
        <v>1.1292</v>
      </c>
      <c r="E38" s="6">
        <v>5.8299999999999998E-2</v>
      </c>
    </row>
    <row r="39" spans="1:5" x14ac:dyDescent="0.2">
      <c r="A39" s="5">
        <v>46050</v>
      </c>
      <c r="B39" s="4">
        <v>2</v>
      </c>
      <c r="C39" s="8">
        <v>1.2686999999999999</v>
      </c>
      <c r="D39" s="8">
        <v>1.1296999999999999</v>
      </c>
      <c r="E39" s="6">
        <v>5.8200000000000002E-2</v>
      </c>
    </row>
    <row r="40" spans="1:5" x14ac:dyDescent="0.2">
      <c r="A40" s="5">
        <v>46051</v>
      </c>
      <c r="B40" s="4">
        <v>2</v>
      </c>
      <c r="C40" s="8">
        <v>1.2684</v>
      </c>
      <c r="D40" s="8">
        <v>1.1285000000000001</v>
      </c>
      <c r="E40" s="6">
        <v>5.79E-2</v>
      </c>
    </row>
    <row r="41" spans="1:5" x14ac:dyDescent="0.2">
      <c r="A41" s="5">
        <v>46052</v>
      </c>
      <c r="B41" s="4">
        <v>2</v>
      </c>
      <c r="C41" s="8">
        <v>1.2709999999999999</v>
      </c>
      <c r="D41" s="8">
        <v>1.1312</v>
      </c>
      <c r="E41" s="6">
        <v>5.8099999999999999E-2</v>
      </c>
    </row>
    <row r="42" spans="1:5" x14ac:dyDescent="0.2">
      <c r="A42" s="5">
        <v>46053</v>
      </c>
      <c r="B42" s="4">
        <v>2</v>
      </c>
      <c r="C42" s="8">
        <v>1.2710999999999999</v>
      </c>
      <c r="D42" s="8">
        <v>1.1308</v>
      </c>
      <c r="E42" s="6">
        <v>5.79E-2</v>
      </c>
    </row>
    <row r="43" spans="1:5" x14ac:dyDescent="0.2">
      <c r="A43" s="5">
        <v>46054</v>
      </c>
      <c r="B43" s="4">
        <v>2</v>
      </c>
      <c r="C43" s="8">
        <v>1.2745</v>
      </c>
      <c r="D43" s="8">
        <v>1.1345000000000001</v>
      </c>
      <c r="E43" s="6">
        <v>5.8200000000000002E-2</v>
      </c>
    </row>
    <row r="44" spans="1:5" x14ac:dyDescent="0.2">
      <c r="A44" s="5">
        <v>46055</v>
      </c>
      <c r="B44" s="4">
        <v>2</v>
      </c>
      <c r="C44" s="8">
        <v>1.2786</v>
      </c>
      <c r="D44" s="8">
        <v>1.1394</v>
      </c>
      <c r="E44" s="6">
        <v>5.8700000000000002E-2</v>
      </c>
    </row>
    <row r="45" spans="1:5" x14ac:dyDescent="0.2">
      <c r="A45" s="5">
        <v>46056</v>
      </c>
      <c r="B45" s="4">
        <v>2</v>
      </c>
      <c r="C45" s="8">
        <v>1.2702</v>
      </c>
      <c r="D45" s="8">
        <v>1.1283000000000001</v>
      </c>
      <c r="E45" s="6">
        <v>5.7099999999999998E-2</v>
      </c>
    </row>
    <row r="46" spans="1:5" x14ac:dyDescent="0.2">
      <c r="A46" s="5">
        <v>46057</v>
      </c>
      <c r="B46" s="4">
        <v>2</v>
      </c>
      <c r="C46" s="8">
        <v>1.2736000000000001</v>
      </c>
      <c r="D46" s="8">
        <v>1.1323000000000001</v>
      </c>
      <c r="E46" s="6">
        <v>5.7500000000000002E-2</v>
      </c>
    </row>
    <row r="47" spans="1:5" x14ac:dyDescent="0.2">
      <c r="A47" s="5">
        <v>46058</v>
      </c>
      <c r="B47" s="4">
        <v>2</v>
      </c>
      <c r="C47" s="8">
        <v>1.2759</v>
      </c>
      <c r="D47" s="8">
        <v>1.1349</v>
      </c>
      <c r="E47" s="6">
        <v>5.7700000000000001E-2</v>
      </c>
    </row>
    <row r="48" spans="1:5" x14ac:dyDescent="0.2">
      <c r="A48" s="5">
        <v>46059</v>
      </c>
      <c r="B48" s="4">
        <v>2</v>
      </c>
      <c r="C48" s="8">
        <v>1.2784</v>
      </c>
      <c r="D48" s="8">
        <v>1.1378999999999999</v>
      </c>
      <c r="E48" s="6">
        <v>5.8000000000000003E-2</v>
      </c>
    </row>
    <row r="49" spans="1:5" x14ac:dyDescent="0.2">
      <c r="A49" s="5">
        <v>46060</v>
      </c>
      <c r="B49" s="4">
        <v>2</v>
      </c>
      <c r="C49" s="8">
        <v>1.2774000000000001</v>
      </c>
      <c r="D49" s="8">
        <v>1.1364000000000001</v>
      </c>
      <c r="E49" s="6">
        <v>5.7599999999999998E-2</v>
      </c>
    </row>
    <row r="50" spans="1:5" x14ac:dyDescent="0.2">
      <c r="A50" s="5">
        <v>46061</v>
      </c>
      <c r="B50" s="4">
        <v>2</v>
      </c>
      <c r="C50" s="8">
        <v>1.2778</v>
      </c>
      <c r="D50" s="8">
        <v>1.1368</v>
      </c>
      <c r="E50" s="6">
        <v>5.7599999999999998E-2</v>
      </c>
    </row>
    <row r="51" spans="1:5" x14ac:dyDescent="0.2">
      <c r="A51" s="5">
        <v>46062</v>
      </c>
      <c r="B51" s="4">
        <v>2</v>
      </c>
      <c r="C51" s="8">
        <v>1.2769999999999999</v>
      </c>
      <c r="D51" s="8">
        <v>1.1357999999999999</v>
      </c>
      <c r="E51" s="6">
        <v>5.7299999999999997E-2</v>
      </c>
    </row>
    <row r="52" spans="1:5" x14ac:dyDescent="0.2">
      <c r="A52" s="5">
        <v>46063</v>
      </c>
      <c r="B52" s="4">
        <v>2</v>
      </c>
      <c r="C52" s="8">
        <v>1.2794000000000001</v>
      </c>
      <c r="D52" s="8">
        <v>1.139</v>
      </c>
      <c r="E52" s="6">
        <v>5.7599999999999998E-2</v>
      </c>
    </row>
    <row r="53" spans="1:5" x14ac:dyDescent="0.2">
      <c r="A53" s="5">
        <v>46064</v>
      </c>
      <c r="B53" s="4">
        <v>2</v>
      </c>
      <c r="C53" s="8">
        <v>1.2783</v>
      </c>
      <c r="D53" s="8">
        <v>1.1376999999999999</v>
      </c>
      <c r="E53" s="6">
        <v>5.7299999999999997E-2</v>
      </c>
    </row>
    <row r="54" spans="1:5" x14ac:dyDescent="0.2">
      <c r="A54" s="5">
        <v>46065</v>
      </c>
      <c r="B54" s="4">
        <v>2</v>
      </c>
      <c r="C54" s="8">
        <v>1.2791999999999999</v>
      </c>
      <c r="D54" s="8">
        <v>1.1391</v>
      </c>
      <c r="E54" s="6">
        <v>5.74E-2</v>
      </c>
    </row>
    <row r="55" spans="1:5" x14ac:dyDescent="0.2">
      <c r="A55" s="5">
        <v>46066</v>
      </c>
      <c r="B55" s="4">
        <v>2</v>
      </c>
      <c r="C55" s="8">
        <v>1.2770999999999999</v>
      </c>
      <c r="D55" s="8">
        <v>1.1366000000000001</v>
      </c>
      <c r="E55" s="6">
        <v>5.6899999999999999E-2</v>
      </c>
    </row>
    <row r="56" spans="1:5" x14ac:dyDescent="0.2">
      <c r="A56" s="5">
        <v>46067</v>
      </c>
      <c r="B56" s="4">
        <v>2</v>
      </c>
      <c r="C56" s="8">
        <v>1.2758</v>
      </c>
      <c r="D56" s="8">
        <v>1.1354</v>
      </c>
      <c r="E56" s="6">
        <v>5.67E-2</v>
      </c>
    </row>
    <row r="57" spans="1:5" x14ac:dyDescent="0.2">
      <c r="A57" s="5">
        <v>46068</v>
      </c>
      <c r="B57" s="4">
        <v>2</v>
      </c>
      <c r="C57" s="8">
        <v>1.2771999999999999</v>
      </c>
      <c r="D57" s="8">
        <v>1.1375</v>
      </c>
      <c r="E57" s="6">
        <v>5.6800000000000003E-2</v>
      </c>
    </row>
    <row r="58" spans="1:5" x14ac:dyDescent="0.2">
      <c r="A58" s="5">
        <v>46069</v>
      </c>
      <c r="B58" s="4">
        <v>2</v>
      </c>
      <c r="C58" s="8">
        <v>1.2798</v>
      </c>
      <c r="D58" s="8">
        <v>1.1413</v>
      </c>
      <c r="E58" s="6">
        <v>5.7200000000000001E-2</v>
      </c>
    </row>
    <row r="59" spans="1:5" x14ac:dyDescent="0.2">
      <c r="A59" s="5">
        <v>46070</v>
      </c>
      <c r="B59" s="4">
        <v>2</v>
      </c>
      <c r="C59" s="8">
        <v>1.2743</v>
      </c>
      <c r="D59" s="8">
        <v>1.1348</v>
      </c>
      <c r="E59" s="6">
        <v>5.6300000000000003E-2</v>
      </c>
    </row>
    <row r="60" spans="1:5" x14ac:dyDescent="0.2">
      <c r="A60" s="5">
        <v>46071</v>
      </c>
      <c r="B60" s="4">
        <v>2</v>
      </c>
      <c r="C60" s="8">
        <v>1.2795000000000001</v>
      </c>
      <c r="D60" s="8">
        <v>1.1419999999999999</v>
      </c>
      <c r="E60" s="6">
        <v>5.7099999999999998E-2</v>
      </c>
    </row>
    <row r="61" spans="1:5" x14ac:dyDescent="0.2">
      <c r="A61" s="5">
        <v>46072</v>
      </c>
      <c r="B61" s="4">
        <v>2</v>
      </c>
      <c r="C61" s="8">
        <v>1.2798</v>
      </c>
      <c r="D61" s="8">
        <v>1.143</v>
      </c>
      <c r="E61" s="6">
        <v>5.7200000000000001E-2</v>
      </c>
    </row>
    <row r="62" spans="1:5" x14ac:dyDescent="0.2">
      <c r="A62" s="5">
        <v>46073</v>
      </c>
      <c r="B62" s="4">
        <v>2</v>
      </c>
      <c r="C62" s="8">
        <v>1.2758</v>
      </c>
      <c r="D62" s="8">
        <v>1.1386000000000001</v>
      </c>
      <c r="E62" s="6">
        <v>5.6500000000000002E-2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A0AED-68F6-DF4E-9EA1-915D8CB0B5CE}">
  <sheetPr codeName="Sheet11"/>
  <dimension ref="A1:D11"/>
  <sheetViews>
    <sheetView workbookViewId="0">
      <selection activeCell="J22" sqref="J22"/>
    </sheetView>
  </sheetViews>
  <sheetFormatPr baseColWidth="10" defaultRowHeight="16" x14ac:dyDescent="0.2"/>
  <cols>
    <col min="2" max="2" width="16" customWidth="1"/>
    <col min="3" max="3" width="18" customWidth="1"/>
    <col min="4" max="4" width="11.1640625" customWidth="1"/>
  </cols>
  <sheetData>
    <row r="1" spans="1:4" x14ac:dyDescent="0.2">
      <c r="A1" s="3" t="s">
        <v>32</v>
      </c>
      <c r="B1" s="3" t="s">
        <v>33</v>
      </c>
      <c r="C1" s="3" t="s">
        <v>19</v>
      </c>
      <c r="D1" s="3" t="s">
        <v>27</v>
      </c>
    </row>
    <row r="2" spans="1:4" x14ac:dyDescent="0.2">
      <c r="A2" s="3" t="s">
        <v>34</v>
      </c>
      <c r="B2" s="3" t="s">
        <v>35</v>
      </c>
      <c r="C2" s="3" t="s">
        <v>23</v>
      </c>
      <c r="D2" s="2">
        <v>129359.38</v>
      </c>
    </row>
    <row r="3" spans="1:4" x14ac:dyDescent="0.2">
      <c r="A3" s="3" t="s">
        <v>36</v>
      </c>
      <c r="B3" s="3" t="s">
        <v>37</v>
      </c>
      <c r="C3" s="3" t="s">
        <v>23</v>
      </c>
      <c r="D3" s="2">
        <v>129359.38</v>
      </c>
    </row>
    <row r="4" spans="1:4" x14ac:dyDescent="0.2">
      <c r="A4" s="3" t="s">
        <v>38</v>
      </c>
      <c r="B4" s="3" t="s">
        <v>39</v>
      </c>
      <c r="C4" s="3" t="s">
        <v>23</v>
      </c>
      <c r="D4" s="2">
        <v>129353.47</v>
      </c>
    </row>
    <row r="5" spans="1:4" x14ac:dyDescent="0.2">
      <c r="A5" s="3" t="s">
        <v>40</v>
      </c>
      <c r="B5" s="3" t="s">
        <v>39</v>
      </c>
      <c r="C5" s="3" t="s">
        <v>22</v>
      </c>
      <c r="D5" s="2">
        <v>-129353.47</v>
      </c>
    </row>
    <row r="6" spans="1:4" x14ac:dyDescent="0.2">
      <c r="A6" s="3" t="s">
        <v>41</v>
      </c>
      <c r="B6" s="3" t="s">
        <v>35</v>
      </c>
      <c r="C6" s="3" t="s">
        <v>22</v>
      </c>
      <c r="D6" s="2">
        <v>-97023.96</v>
      </c>
    </row>
    <row r="7" spans="1:4" x14ac:dyDescent="0.2">
      <c r="A7" s="3" t="s">
        <v>42</v>
      </c>
      <c r="B7" s="3" t="s">
        <v>39</v>
      </c>
      <c r="C7" s="3" t="s">
        <v>23</v>
      </c>
      <c r="D7" s="2">
        <v>86239.58</v>
      </c>
    </row>
    <row r="8" spans="1:4" x14ac:dyDescent="0.2">
      <c r="A8" s="3" t="s">
        <v>43</v>
      </c>
      <c r="B8" s="3" t="s">
        <v>35</v>
      </c>
      <c r="C8" s="3" t="s">
        <v>22</v>
      </c>
      <c r="D8" s="2">
        <v>-77615.63</v>
      </c>
    </row>
    <row r="9" spans="1:4" x14ac:dyDescent="0.2">
      <c r="A9" s="3" t="s">
        <v>44</v>
      </c>
      <c r="B9" s="3" t="s">
        <v>39</v>
      </c>
      <c r="C9" s="3" t="s">
        <v>22</v>
      </c>
      <c r="D9" s="2">
        <v>-64682.64</v>
      </c>
    </row>
    <row r="10" spans="1:4" x14ac:dyDescent="0.2">
      <c r="A10" s="3" t="s">
        <v>45</v>
      </c>
      <c r="B10" s="3" t="s">
        <v>37</v>
      </c>
      <c r="C10" s="3" t="s">
        <v>22</v>
      </c>
      <c r="D10" s="2">
        <v>-64682.64</v>
      </c>
    </row>
    <row r="11" spans="1:4" x14ac:dyDescent="0.2">
      <c r="A11" s="3" t="s">
        <v>46</v>
      </c>
      <c r="B11" s="3" t="s">
        <v>37</v>
      </c>
      <c r="C11" s="3" t="s">
        <v>22</v>
      </c>
      <c r="D11" s="2">
        <v>-45280.21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control</vt:lpstr>
      <vt:lpstr>Cover</vt:lpstr>
      <vt:lpstr>Curve</vt:lpstr>
      <vt:lpstr>Risk</vt:lpstr>
      <vt:lpstr>Liquidity</vt:lpstr>
      <vt:lpstr>01_curve_snapshot</vt:lpstr>
      <vt:lpstr>02_maturity_ladder</vt:lpstr>
      <vt:lpstr>03_dv01_by_bucket</vt:lpstr>
      <vt:lpstr>04_liquidity_timeseries</vt:lpstr>
      <vt:lpstr>05_top_trades_dv01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Fabian Fladischer</dc:creator>
  <cp:lastModifiedBy>Fabian Fladischer</cp:lastModifiedBy>
  <dcterms:created xsi:type="dcterms:W3CDTF">2026-02-23T19:17:59Z</dcterms:created>
  <dcterms:modified xsi:type="dcterms:W3CDTF">2026-02-24T21:33:26Z</dcterms:modified>
</cp:coreProperties>
</file>